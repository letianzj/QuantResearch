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privatefund\workbook\"/>
    </mc:Choice>
  </mc:AlternateContent>
  <xr:revisionPtr revIDLastSave="0" documentId="13_ncr:1_{F802F29B-F8ED-4919-90E5-131D2198269C}" xr6:coauthVersionLast="45" xr6:coauthVersionMax="45" xr10:uidLastSave="{00000000-0000-0000-0000-000000000000}"/>
  <bookViews>
    <workbookView xWindow="-120" yWindow="-120" windowWidth="38640" windowHeight="15840" tabRatio="500" xr2:uid="{00000000-000D-0000-FFFF-FFFF00000000}"/>
  </bookViews>
  <sheets>
    <sheet name="Strategy" sheetId="1" r:id="rId1"/>
    <sheet name="_xlwings.conf" sheetId="2" r:id="rId2"/>
  </sheets>
  <functionGroups builtInGroupCount="19">
    <functionGroup name="xlwings"/>
  </functionGroups>
  <calcPr calcId="181029" concurrentCalc="0"/>
  <extLst>
    <ext xmlns:x14="http://schemas.microsoft.com/office/spreadsheetml/2009/9/main" uri="{8193D73E-4604-4355-AFF4-8A2333D13BE4}">
      <x14:definedNames>
        <x14:definedName name="black76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del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rho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the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lack76_vann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6_vol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lack78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m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del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gamm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rho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theta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bsm_vann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e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bsm_volg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" i="1" l="1"/>
  <c r="G11" i="1"/>
  <c r="U28" i="1"/>
  <c r="G13" i="1"/>
  <c r="W28" i="1"/>
  <c r="G12" i="1"/>
  <c r="V28" i="1"/>
  <c r="X28" i="1"/>
  <c r="U32" i="1"/>
  <c r="V32" i="1"/>
  <c r="H21" i="1"/>
  <c r="AA41" i="1"/>
  <c r="I25" i="1"/>
  <c r="X41" i="1"/>
  <c r="I11" i="1"/>
  <c r="W41" i="1"/>
  <c r="Z41" i="1"/>
  <c r="AB41" i="1"/>
  <c r="G25" i="1"/>
  <c r="V41" i="1"/>
  <c r="U41" i="1"/>
  <c r="Y41" i="1"/>
  <c r="I10" i="1"/>
  <c r="U37" i="1"/>
  <c r="V37" i="1"/>
  <c r="W37" i="1"/>
  <c r="G14" i="1"/>
  <c r="X37" i="1"/>
  <c r="Y37" i="1"/>
  <c r="Y24" i="1"/>
  <c r="U24" i="1"/>
  <c r="V24" i="1"/>
  <c r="W24" i="1"/>
  <c r="Z24" i="1"/>
  <c r="B11" i="1"/>
  <c r="B13" i="1"/>
  <c r="X24" i="1"/>
  <c r="AB16" i="1"/>
  <c r="U16" i="1"/>
  <c r="W16" i="1"/>
  <c r="Y16" i="1"/>
  <c r="I12" i="1"/>
  <c r="X16" i="1"/>
  <c r="V16" i="1"/>
  <c r="Z16" i="1"/>
  <c r="AA16" i="1"/>
  <c r="P11" i="1"/>
  <c r="U11" i="1"/>
  <c r="W5" i="1"/>
  <c r="X5" i="1"/>
  <c r="Y5" i="1"/>
  <c r="V11" i="1"/>
  <c r="X11" i="1"/>
  <c r="Y11" i="1"/>
  <c r="AB5" i="1"/>
  <c r="U5" i="1"/>
  <c r="V5" i="1"/>
  <c r="AA5" i="1"/>
  <c r="Z5" i="1"/>
  <c r="H35" i="1"/>
  <c r="G44" i="1"/>
  <c r="F44" i="1"/>
  <c r="I44" i="1"/>
  <c r="K44" i="1"/>
  <c r="R44" i="1"/>
  <c r="E44" i="1"/>
  <c r="J44" i="1"/>
  <c r="Q44" i="1"/>
  <c r="P44" i="1"/>
  <c r="G43" i="1"/>
  <c r="F43" i="1"/>
  <c r="I43" i="1"/>
  <c r="K43" i="1"/>
  <c r="R43" i="1"/>
  <c r="E43" i="1"/>
  <c r="J43" i="1"/>
  <c r="Q43" i="1"/>
  <c r="P43" i="1"/>
  <c r="G42" i="1"/>
  <c r="F42" i="1"/>
  <c r="I42" i="1"/>
  <c r="K42" i="1"/>
  <c r="R42" i="1"/>
  <c r="E42" i="1"/>
  <c r="J42" i="1"/>
  <c r="Q42" i="1"/>
  <c r="P42" i="1"/>
  <c r="G41" i="1"/>
  <c r="F41" i="1"/>
  <c r="I41" i="1"/>
  <c r="K41" i="1"/>
  <c r="R41" i="1"/>
  <c r="E41" i="1"/>
  <c r="J41" i="1"/>
  <c r="Q41" i="1"/>
  <c r="P41" i="1"/>
  <c r="G40" i="1"/>
  <c r="F40" i="1"/>
  <c r="I40" i="1"/>
  <c r="K40" i="1"/>
  <c r="R40" i="1"/>
  <c r="E40" i="1"/>
  <c r="J40" i="1"/>
  <c r="Q40" i="1"/>
  <c r="P40" i="1"/>
  <c r="G39" i="1"/>
  <c r="F39" i="1"/>
  <c r="I39" i="1"/>
  <c r="K39" i="1"/>
  <c r="R39" i="1"/>
  <c r="E39" i="1"/>
  <c r="J39" i="1"/>
  <c r="Q39" i="1"/>
  <c r="P39" i="1"/>
  <c r="G38" i="1"/>
  <c r="F38" i="1"/>
  <c r="I38" i="1"/>
  <c r="K38" i="1"/>
  <c r="R38" i="1"/>
  <c r="E38" i="1"/>
  <c r="J38" i="1"/>
  <c r="Q38" i="1"/>
  <c r="P38" i="1"/>
  <c r="G37" i="1"/>
  <c r="F37" i="1"/>
  <c r="I37" i="1"/>
  <c r="K37" i="1"/>
  <c r="R37" i="1"/>
  <c r="E37" i="1"/>
  <c r="J37" i="1"/>
  <c r="Q37" i="1"/>
  <c r="P37" i="1"/>
  <c r="G36" i="1"/>
  <c r="F36" i="1"/>
  <c r="I36" i="1"/>
  <c r="K36" i="1"/>
  <c r="R36" i="1"/>
  <c r="E36" i="1"/>
  <c r="J36" i="1"/>
  <c r="Q36" i="1"/>
  <c r="P36" i="1"/>
  <c r="G30" i="1"/>
  <c r="F30" i="1"/>
  <c r="I30" i="1"/>
  <c r="K30" i="1"/>
  <c r="R30" i="1"/>
  <c r="E30" i="1"/>
  <c r="J30" i="1"/>
  <c r="Q30" i="1"/>
  <c r="P30" i="1"/>
  <c r="G29" i="1"/>
  <c r="F29" i="1"/>
  <c r="I29" i="1"/>
  <c r="K29" i="1"/>
  <c r="R29" i="1"/>
  <c r="E29" i="1"/>
  <c r="J29" i="1"/>
  <c r="Q29" i="1"/>
  <c r="P29" i="1"/>
  <c r="G28" i="1"/>
  <c r="F28" i="1"/>
  <c r="I28" i="1"/>
  <c r="K28" i="1"/>
  <c r="R28" i="1"/>
  <c r="E28" i="1"/>
  <c r="J28" i="1"/>
  <c r="Q28" i="1"/>
  <c r="P28" i="1"/>
  <c r="G27" i="1"/>
  <c r="F27" i="1"/>
  <c r="I27" i="1"/>
  <c r="K27" i="1"/>
  <c r="R27" i="1"/>
  <c r="E27" i="1"/>
  <c r="J27" i="1"/>
  <c r="Q27" i="1"/>
  <c r="P27" i="1"/>
  <c r="G26" i="1"/>
  <c r="F26" i="1"/>
  <c r="I26" i="1"/>
  <c r="K26" i="1"/>
  <c r="R26" i="1"/>
  <c r="E26" i="1"/>
  <c r="J26" i="1"/>
  <c r="Q26" i="1"/>
  <c r="P26" i="1"/>
  <c r="F25" i="1"/>
  <c r="K25" i="1"/>
  <c r="R25" i="1"/>
  <c r="E25" i="1"/>
  <c r="J25" i="1"/>
  <c r="Q25" i="1"/>
  <c r="P25" i="1"/>
  <c r="G24" i="1"/>
  <c r="F24" i="1"/>
  <c r="I24" i="1"/>
  <c r="K24" i="1"/>
  <c r="R24" i="1"/>
  <c r="E24" i="1"/>
  <c r="J24" i="1"/>
  <c r="Q24" i="1"/>
  <c r="P24" i="1"/>
  <c r="G23" i="1"/>
  <c r="F23" i="1"/>
  <c r="I23" i="1"/>
  <c r="K23" i="1"/>
  <c r="R23" i="1"/>
  <c r="E23" i="1"/>
  <c r="J23" i="1"/>
  <c r="Q23" i="1"/>
  <c r="P23" i="1"/>
  <c r="G22" i="1"/>
  <c r="F22" i="1"/>
  <c r="I22" i="1"/>
  <c r="K22" i="1"/>
  <c r="R22" i="1"/>
  <c r="E22" i="1"/>
  <c r="J22" i="1"/>
  <c r="Q22" i="1"/>
  <c r="P22" i="1"/>
  <c r="G9" i="1"/>
  <c r="I9" i="1"/>
  <c r="P9" i="1"/>
  <c r="E9" i="1"/>
  <c r="J9" i="1"/>
  <c r="Q9" i="1"/>
  <c r="F9" i="1"/>
  <c r="K9" i="1"/>
  <c r="R9" i="1"/>
  <c r="G10" i="1"/>
  <c r="P10" i="1"/>
  <c r="E10" i="1"/>
  <c r="J10" i="1"/>
  <c r="Q10" i="1"/>
  <c r="F10" i="1"/>
  <c r="K10" i="1"/>
  <c r="R10" i="1"/>
  <c r="E11" i="1"/>
  <c r="J11" i="1"/>
  <c r="Q11" i="1"/>
  <c r="F11" i="1"/>
  <c r="K11" i="1"/>
  <c r="R11" i="1"/>
  <c r="P12" i="1"/>
  <c r="E12" i="1"/>
  <c r="J12" i="1"/>
  <c r="Q12" i="1"/>
  <c r="F12" i="1"/>
  <c r="K12" i="1"/>
  <c r="R12" i="1"/>
  <c r="I13" i="1"/>
  <c r="P13" i="1"/>
  <c r="E13" i="1"/>
  <c r="J13" i="1"/>
  <c r="Q13" i="1"/>
  <c r="F13" i="1"/>
  <c r="K13" i="1"/>
  <c r="R13" i="1"/>
  <c r="I14" i="1"/>
  <c r="P14" i="1"/>
  <c r="E14" i="1"/>
  <c r="J14" i="1"/>
  <c r="Q14" i="1"/>
  <c r="F14" i="1"/>
  <c r="K14" i="1"/>
  <c r="R14" i="1"/>
  <c r="G15" i="1"/>
  <c r="I15" i="1"/>
  <c r="P15" i="1"/>
  <c r="E15" i="1"/>
  <c r="J15" i="1"/>
  <c r="Q15" i="1"/>
  <c r="F15" i="1"/>
  <c r="K15" i="1"/>
  <c r="R15" i="1"/>
  <c r="G16" i="1"/>
  <c r="I16" i="1"/>
  <c r="P16" i="1"/>
  <c r="E16" i="1"/>
  <c r="J16" i="1"/>
  <c r="Q16" i="1"/>
  <c r="F16" i="1"/>
  <c r="K16" i="1"/>
  <c r="R16" i="1"/>
  <c r="G8" i="1"/>
  <c r="F8" i="1"/>
  <c r="I8" i="1"/>
  <c r="K8" i="1"/>
  <c r="R8" i="1"/>
  <c r="E8" i="1"/>
  <c r="J8" i="1"/>
  <c r="Q8" i="1"/>
  <c r="P8" i="1"/>
  <c r="O44" i="1"/>
  <c r="N44" i="1"/>
  <c r="M44" i="1"/>
  <c r="L44" i="1"/>
  <c r="D44" i="1"/>
  <c r="C44" i="1"/>
  <c r="B44" i="1"/>
  <c r="A44" i="1"/>
  <c r="O43" i="1"/>
  <c r="N43" i="1"/>
  <c r="M43" i="1"/>
  <c r="L43" i="1"/>
  <c r="D43" i="1"/>
  <c r="C43" i="1"/>
  <c r="B43" i="1"/>
  <c r="A43" i="1"/>
  <c r="O42" i="1"/>
  <c r="N42" i="1"/>
  <c r="M42" i="1"/>
  <c r="L42" i="1"/>
  <c r="D42" i="1"/>
  <c r="C42" i="1"/>
  <c r="B42" i="1"/>
  <c r="A42" i="1"/>
  <c r="O41" i="1"/>
  <c r="N41" i="1"/>
  <c r="M41" i="1"/>
  <c r="L41" i="1"/>
  <c r="D41" i="1"/>
  <c r="C41" i="1"/>
  <c r="B41" i="1"/>
  <c r="A41" i="1"/>
  <c r="O40" i="1"/>
  <c r="N40" i="1"/>
  <c r="M40" i="1"/>
  <c r="L40" i="1"/>
  <c r="D40" i="1"/>
  <c r="C40" i="1"/>
  <c r="B40" i="1"/>
  <c r="A40" i="1"/>
  <c r="O39" i="1"/>
  <c r="N39" i="1"/>
  <c r="M39" i="1"/>
  <c r="L39" i="1"/>
  <c r="D39" i="1"/>
  <c r="C39" i="1"/>
  <c r="B39" i="1"/>
  <c r="A39" i="1"/>
  <c r="O38" i="1"/>
  <c r="N38" i="1"/>
  <c r="M38" i="1"/>
  <c r="L38" i="1"/>
  <c r="D38" i="1"/>
  <c r="C38" i="1"/>
  <c r="B38" i="1"/>
  <c r="A38" i="1"/>
  <c r="O37" i="1"/>
  <c r="N37" i="1"/>
  <c r="M37" i="1"/>
  <c r="L37" i="1"/>
  <c r="D37" i="1"/>
  <c r="C37" i="1"/>
  <c r="B37" i="1"/>
  <c r="A37" i="1"/>
  <c r="O36" i="1"/>
  <c r="N36" i="1"/>
  <c r="M36" i="1"/>
  <c r="L36" i="1"/>
  <c r="D36" i="1"/>
  <c r="C36" i="1"/>
  <c r="B36" i="1"/>
  <c r="A36" i="1"/>
  <c r="O30" i="1"/>
  <c r="N30" i="1"/>
  <c r="M30" i="1"/>
  <c r="L30" i="1"/>
  <c r="D30" i="1"/>
  <c r="C30" i="1"/>
  <c r="B30" i="1"/>
  <c r="A30" i="1"/>
  <c r="O29" i="1"/>
  <c r="N29" i="1"/>
  <c r="M29" i="1"/>
  <c r="L29" i="1"/>
  <c r="D29" i="1"/>
  <c r="C29" i="1"/>
  <c r="B29" i="1"/>
  <c r="A29" i="1"/>
  <c r="O28" i="1"/>
  <c r="N28" i="1"/>
  <c r="M28" i="1"/>
  <c r="L28" i="1"/>
  <c r="D28" i="1"/>
  <c r="C28" i="1"/>
  <c r="B28" i="1"/>
  <c r="A28" i="1"/>
  <c r="O27" i="1"/>
  <c r="N27" i="1"/>
  <c r="M27" i="1"/>
  <c r="L27" i="1"/>
  <c r="D27" i="1"/>
  <c r="C27" i="1"/>
  <c r="B27" i="1"/>
  <c r="A27" i="1"/>
  <c r="O26" i="1"/>
  <c r="N26" i="1"/>
  <c r="M26" i="1"/>
  <c r="L26" i="1"/>
  <c r="D26" i="1"/>
  <c r="C26" i="1"/>
  <c r="B26" i="1"/>
  <c r="A26" i="1"/>
  <c r="O25" i="1"/>
  <c r="N25" i="1"/>
  <c r="M25" i="1"/>
  <c r="L25" i="1"/>
  <c r="D25" i="1"/>
  <c r="C25" i="1"/>
  <c r="B25" i="1"/>
  <c r="A25" i="1"/>
  <c r="O24" i="1"/>
  <c r="N24" i="1"/>
  <c r="M24" i="1"/>
  <c r="L24" i="1"/>
  <c r="D24" i="1"/>
  <c r="C24" i="1"/>
  <c r="B24" i="1"/>
  <c r="A24" i="1"/>
  <c r="O23" i="1"/>
  <c r="N23" i="1"/>
  <c r="M23" i="1"/>
  <c r="L23" i="1"/>
  <c r="D23" i="1"/>
  <c r="C23" i="1"/>
  <c r="B23" i="1"/>
  <c r="A23" i="1"/>
  <c r="O22" i="1"/>
  <c r="N22" i="1"/>
  <c r="M22" i="1"/>
  <c r="L22" i="1"/>
  <c r="D22" i="1"/>
  <c r="C22" i="1"/>
  <c r="B22" i="1"/>
  <c r="A22" i="1"/>
  <c r="O16" i="1"/>
  <c r="N16" i="1"/>
  <c r="M16" i="1"/>
  <c r="L16" i="1"/>
  <c r="D16" i="1"/>
  <c r="C16" i="1"/>
  <c r="B16" i="1"/>
  <c r="A16" i="1"/>
  <c r="O15" i="1"/>
  <c r="N15" i="1"/>
  <c r="M15" i="1"/>
  <c r="L15" i="1"/>
  <c r="D15" i="1"/>
  <c r="C15" i="1"/>
  <c r="B15" i="1"/>
  <c r="A15" i="1"/>
  <c r="O14" i="1"/>
  <c r="N14" i="1"/>
  <c r="M14" i="1"/>
  <c r="L14" i="1"/>
  <c r="D14" i="1"/>
  <c r="C14" i="1"/>
  <c r="B14" i="1"/>
  <c r="A14" i="1"/>
  <c r="O13" i="1"/>
  <c r="N13" i="1"/>
  <c r="M13" i="1"/>
  <c r="L13" i="1"/>
  <c r="D13" i="1"/>
  <c r="C13" i="1"/>
  <c r="A13" i="1"/>
  <c r="O12" i="1"/>
  <c r="N12" i="1"/>
  <c r="M12" i="1"/>
  <c r="L12" i="1"/>
  <c r="D12" i="1"/>
  <c r="C12" i="1"/>
  <c r="B12" i="1"/>
  <c r="A12" i="1"/>
  <c r="O11" i="1"/>
  <c r="N11" i="1"/>
  <c r="M11" i="1"/>
  <c r="L11" i="1"/>
  <c r="D11" i="1"/>
  <c r="C11" i="1"/>
  <c r="A11" i="1"/>
  <c r="O10" i="1"/>
  <c r="N10" i="1"/>
  <c r="M10" i="1"/>
  <c r="L10" i="1"/>
  <c r="D10" i="1"/>
  <c r="C10" i="1"/>
  <c r="B10" i="1"/>
  <c r="A10" i="1"/>
  <c r="O9" i="1"/>
  <c r="N9" i="1"/>
  <c r="M9" i="1"/>
  <c r="L9" i="1"/>
  <c r="D9" i="1"/>
  <c r="C9" i="1"/>
  <c r="B9" i="1"/>
  <c r="A9" i="1"/>
  <c r="O8" i="1"/>
  <c r="N8" i="1"/>
  <c r="M8" i="1"/>
  <c r="L8" i="1"/>
  <c r="D8" i="1"/>
  <c r="C8" i="1"/>
  <c r="B8" i="1"/>
  <c r="A8" i="1"/>
</calcChain>
</file>

<file path=xl/sharedStrings.xml><?xml version="1.0" encoding="utf-8"?>
<sst xmlns="http://schemas.openxmlformats.org/spreadsheetml/2006/main" count="146" uniqueCount="75">
  <si>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</si>
  <si>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</si>
  <si>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</si>
  <si>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</si>
  <si>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</si>
  <si>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</si>
  <si>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</si>
  <si>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</si>
  <si>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</si>
  <si>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</si>
  <si>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</si>
  <si>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</si>
  <si>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</si>
  <si>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</si>
  <si>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S</t>
  </si>
  <si>
    <t>K</t>
  </si>
  <si>
    <t>Sigma</t>
  </si>
  <si>
    <t>T</t>
  </si>
  <si>
    <t>r</t>
  </si>
  <si>
    <t>q</t>
  </si>
  <si>
    <t>Call</t>
  </si>
  <si>
    <t>Put</t>
  </si>
  <si>
    <t>Price</t>
  </si>
  <si>
    <t>Delta</t>
  </si>
  <si>
    <t>Gamma</t>
  </si>
  <si>
    <t>Vega</t>
  </si>
  <si>
    <t>Theta</t>
  </si>
  <si>
    <t>option_pricer</t>
  </si>
  <si>
    <t>Bid</t>
  </si>
  <si>
    <t>Ask</t>
  </si>
  <si>
    <t>Straddle</t>
  </si>
  <si>
    <t>2. Put call parity: C - P = S - K + (K*r - S*q); American C - P - K*r &lt;= S - K &lt;= C - P + S*q; where S*q = PV(Div)</t>
  </si>
  <si>
    <t>C</t>
  </si>
  <si>
    <t>P</t>
  </si>
  <si>
    <t>K*r</t>
  </si>
  <si>
    <t>S*q</t>
  </si>
  <si>
    <t>C-P</t>
  </si>
  <si>
    <t>S-K+K*r-S*q</t>
  </si>
  <si>
    <t>* from one to the other; and to straddle</t>
  </si>
  <si>
    <t>3. from straddle to call</t>
  </si>
  <si>
    <t>C+P</t>
  </si>
  <si>
    <t>==&gt;</t>
  </si>
  <si>
    <t>C1</t>
  </si>
  <si>
    <t>P1</t>
  </si>
  <si>
    <t>C2</t>
  </si>
  <si>
    <t>P2</t>
  </si>
  <si>
    <t>C1-C2</t>
  </si>
  <si>
    <t>P2-P1</t>
  </si>
  <si>
    <t>sum</t>
  </si>
  <si>
    <t>4. call spread + put spread = box = (K2-K1)*(1-r)</t>
  </si>
  <si>
    <t>* draw payoff graph; it equals to lending PV(K2-K1)</t>
  </si>
  <si>
    <t>PV(K2-K1)</t>
  </si>
  <si>
    <t>* from one spread to the other spread</t>
  </si>
  <si>
    <t>5. buy a spread to lower premium; sell a spread to limit risk</t>
  </si>
  <si>
    <t>time decay</t>
  </si>
  <si>
    <t>payoff St@105</t>
  </si>
  <si>
    <t>% return</t>
  </si>
  <si>
    <t xml:space="preserve">    buy an ITM-OTM spread to zero out theta</t>
  </si>
  <si>
    <t>6. butterfly, always C1+C3 &gt; 2C2</t>
  </si>
  <si>
    <t>* C = (S-K) + (r-q) + P = Parity + interest/carry + insurance</t>
  </si>
  <si>
    <t>C3</t>
  </si>
  <si>
    <t>fly</t>
  </si>
  <si>
    <t>7. Iron condor, sell a strangle to collect premium; buy outside strangle to lmit risk</t>
  </si>
  <si>
    <t>C4</t>
  </si>
  <si>
    <t>Iron Condor premium</t>
  </si>
  <si>
    <t>C2-C1</t>
  </si>
  <si>
    <t>r diff</t>
  </si>
  <si>
    <t>P2-P1+rdiff</t>
  </si>
  <si>
    <t>8. calendar spread on K, call spread approx. put spread</t>
  </si>
  <si>
    <t>6b. Dupire f(K) = d^2C/dK^2 = fly / k^2</t>
  </si>
  <si>
    <t>f(K)</t>
  </si>
  <si>
    <t>prob [K-k/2, K+k/2]</t>
  </si>
  <si>
    <t>* most expensive fly suggests mode of distribution</t>
  </si>
  <si>
    <t>* cheapest straddle @ ATMF/median</t>
  </si>
  <si>
    <t>1. Compare price and greeks across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</si>
</sst>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_(* #,##0.0000_);_(* \(#,##0.0000\);_(* &quot;-&quot;??_);_(@_)"/>
    <numFmt numFmtId="166" formatCode="0.0%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2" xfId="0" applyBorder="1"/>
    <xf numFmtId="0" fontId="2" fillId="2" borderId="2" xfId="0" applyFont="1" applyFill="1" applyBorder="1"/>
    <xf numFmtId="0" fontId="0" fillId="0" borderId="3" xfId="0" applyBorder="1"/>
    <xf numFmtId="0" fontId="2" fillId="2" borderId="4" xfId="0" applyFont="1" applyFill="1" applyBorder="1"/>
    <xf numFmtId="0" fontId="0" fillId="0" borderId="0" xfId="0" applyBorder="1"/>
    <xf numFmtId="0" fontId="2" fillId="2" borderId="0" xfId="0" applyFont="1" applyFill="1" applyBorder="1"/>
    <xf numFmtId="0" fontId="0" fillId="0" borderId="5" xfId="0" applyBorder="1"/>
    <xf numFmtId="0" fontId="2" fillId="2" borderId="6" xfId="0" applyFont="1" applyFill="1" applyBorder="1"/>
    <xf numFmtId="0" fontId="0" fillId="0" borderId="7" xfId="0" applyBorder="1"/>
    <xf numFmtId="0" fontId="2" fillId="2" borderId="7" xfId="0" applyFont="1" applyFill="1" applyBorder="1"/>
    <xf numFmtId="0" fontId="0" fillId="0" borderId="8" xfId="0" applyBorder="1"/>
    <xf numFmtId="0" fontId="0" fillId="3" borderId="0" xfId="0" applyFill="1"/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164" fontId="0" fillId="0" borderId="0" xfId="0" applyNumberFormat="1"/>
    <xf numFmtId="164" fontId="0" fillId="3" borderId="0" xfId="0" applyNumberFormat="1" applyFill="1"/>
    <xf numFmtId="165" fontId="0" fillId="0" borderId="0" xfId="2" applyNumberFormat="1" applyFont="1"/>
    <xf numFmtId="165" fontId="0" fillId="3" borderId="0" xfId="2" applyNumberFormat="1" applyFont="1" applyFill="1"/>
    <xf numFmtId="0" fontId="0" fillId="0" borderId="0" xfId="0" applyAlignment="1">
      <alignment horizontal="left"/>
    </xf>
    <xf numFmtId="0" fontId="0" fillId="4" borderId="0" xfId="0" applyFill="1" applyAlignment="1">
      <alignment horizontal="left"/>
    </xf>
    <xf numFmtId="2" fontId="0" fillId="4" borderId="0" xfId="0" applyNumberFormat="1" applyFill="1" applyAlignment="1">
      <alignment horizontal="left"/>
    </xf>
    <xf numFmtId="0" fontId="0" fillId="0" borderId="0" xfId="0" quotePrefix="1"/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6" fontId="0" fillId="0" borderId="0" xfId="1" applyNumberFormat="1" applyFont="1" applyAlignment="1">
      <alignment horizontal="left"/>
    </xf>
    <xf numFmtId="0" fontId="0" fillId="4" borderId="0" xfId="0" applyFill="1"/>
    <xf numFmtId="0" fontId="2" fillId="2" borderId="0" xfId="0" applyFont="1" applyFill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4"/>
  <sheetViews>
    <sheetView tabSelected="1" zoomScale="80" zoomScaleNormal="80" workbookViewId="0">
      <selection activeCell="F4" sqref="F4"/>
    </sheetView>
  </sheetViews>
  <sheetFormatPr defaultColWidth="11" defaultRowHeight="15.75" x14ac:dyDescent="0.25"/>
  <cols>
    <col min="2" max="2" width="11.875" bestFit="1" customWidth="1"/>
    <col min="12" max="12" width="12.75" bestFit="1" customWidth="1"/>
  </cols>
  <sheetData>
    <row r="1" spans="1:28" x14ac:dyDescent="0.25">
      <c r="A1" s="3" t="s">
        <v>14</v>
      </c>
      <c r="B1" s="4">
        <v>100</v>
      </c>
      <c r="C1" s="5" t="s">
        <v>16</v>
      </c>
      <c r="D1" s="6">
        <v>0.2</v>
      </c>
      <c r="T1" t="s">
        <v>74</v>
      </c>
    </row>
    <row r="2" spans="1:28" x14ac:dyDescent="0.25">
      <c r="A2" s="7" t="s">
        <v>15</v>
      </c>
      <c r="B2" s="8">
        <v>100</v>
      </c>
      <c r="C2" s="9" t="s">
        <v>17</v>
      </c>
      <c r="D2" s="10">
        <v>1</v>
      </c>
    </row>
    <row r="3" spans="1:28" ht="16.5" thickBot="1" x14ac:dyDescent="0.3">
      <c r="A3" s="11" t="s">
        <v>18</v>
      </c>
      <c r="B3" s="12">
        <v>0.01</v>
      </c>
      <c r="C3" s="13" t="s">
        <v>19</v>
      </c>
      <c r="D3" s="14">
        <v>0</v>
      </c>
      <c r="T3" t="s">
        <v>31</v>
      </c>
    </row>
    <row r="4" spans="1:28" x14ac:dyDescent="0.25">
      <c r="U4" s="22" t="s">
        <v>32</v>
      </c>
      <c r="V4" s="22" t="s">
        <v>33</v>
      </c>
      <c r="W4" s="22" t="s">
        <v>14</v>
      </c>
      <c r="X4" s="22" t="s">
        <v>15</v>
      </c>
      <c r="Y4" s="22" t="s">
        <v>34</v>
      </c>
      <c r="Z4" s="22" t="s">
        <v>35</v>
      </c>
      <c r="AA4" s="22" t="s">
        <v>36</v>
      </c>
      <c r="AB4" s="22" t="s">
        <v>37</v>
      </c>
    </row>
    <row r="5" spans="1:28" x14ac:dyDescent="0.25">
      <c r="U5" s="22">
        <f>G11</f>
        <v>5.64</v>
      </c>
      <c r="V5" s="22">
        <f>I11</f>
        <v>0.56000000000000005</v>
      </c>
      <c r="W5" s="22">
        <f>B1</f>
        <v>100</v>
      </c>
      <c r="X5" s="22">
        <f>H11</f>
        <v>95</v>
      </c>
      <c r="Y5" s="22">
        <f>X5*B3*H7</f>
        <v>7.9166666666666663E-2</v>
      </c>
      <c r="Z5" s="22">
        <f>B1*D3</f>
        <v>0</v>
      </c>
      <c r="AA5" s="23">
        <f>U5-V5</f>
        <v>5.08</v>
      </c>
      <c r="AB5" s="24">
        <f>W5-X5+Y5</f>
        <v>5.0791666666666666</v>
      </c>
    </row>
    <row r="6" spans="1:28" x14ac:dyDescent="0.25">
      <c r="A6" s="30" t="s">
        <v>20</v>
      </c>
      <c r="B6" s="30"/>
      <c r="C6" s="30"/>
      <c r="D6" s="30"/>
      <c r="E6" s="30"/>
      <c r="F6" s="30"/>
      <c r="G6" s="30"/>
      <c r="H6" s="17" t="s">
        <v>15</v>
      </c>
      <c r="I6" s="30" t="s">
        <v>21</v>
      </c>
      <c r="J6" s="30"/>
      <c r="K6" s="30"/>
      <c r="L6" s="30"/>
      <c r="M6" s="30"/>
      <c r="N6" s="30"/>
      <c r="O6" s="30"/>
      <c r="P6" s="30" t="s">
        <v>30</v>
      </c>
      <c r="Q6" s="30"/>
      <c r="R6" s="30"/>
      <c r="U6" t="s">
        <v>38</v>
      </c>
    </row>
    <row r="7" spans="1:28" x14ac:dyDescent="0.25">
      <c r="A7" s="16" t="s">
        <v>25</v>
      </c>
      <c r="B7" s="16" t="s">
        <v>26</v>
      </c>
      <c r="C7" s="16" t="s">
        <v>24</v>
      </c>
      <c r="D7" s="16" t="s">
        <v>23</v>
      </c>
      <c r="E7" s="16" t="s">
        <v>28</v>
      </c>
      <c r="F7" s="16" t="s">
        <v>29</v>
      </c>
      <c r="G7" s="16" t="s">
        <v>22</v>
      </c>
      <c r="H7" s="16">
        <f>1/12</f>
        <v>8.3333333333333329E-2</v>
      </c>
      <c r="I7" s="16" t="s">
        <v>22</v>
      </c>
      <c r="J7" s="16" t="s">
        <v>28</v>
      </c>
      <c r="K7" s="16" t="s">
        <v>29</v>
      </c>
      <c r="L7" s="16" t="s">
        <v>23</v>
      </c>
      <c r="M7" s="16" t="s">
        <v>24</v>
      </c>
      <c r="N7" s="16" t="s">
        <v>26</v>
      </c>
      <c r="O7" s="16" t="s">
        <v>25</v>
      </c>
      <c r="P7" s="16" t="s">
        <v>22</v>
      </c>
      <c r="Q7" s="16" t="s">
        <v>28</v>
      </c>
      <c r="R7" s="16" t="s">
        <v>29</v>
      </c>
      <c r="U7" t="s">
        <v>59</v>
      </c>
    </row>
    <row r="8" spans="1:28" x14ac:dyDescent="0.25">
      <c r="A8" s="18">
        <f>bsm_vega($B$1,$H8,$H7,$B$3,$D$3,$D$1)/100</f>
        <v>5.5526859709526357E-5</v>
      </c>
      <c r="B8" s="18">
        <f>bsm_theta($B$1,$H8,$H7,$B$3,$D$3,$D$1,"call")/365</f>
        <v>-2.2080814457262317E-3</v>
      </c>
      <c r="C8" s="18">
        <f>bsm_gamma($B$1,$H8,$H7,$B$3,$D$3,$D$1)*100</f>
        <v>3.3316115825715816E-3</v>
      </c>
      <c r="D8" s="18">
        <f>bsm_delta($B$1,$H8,$H7,$B$3,$D$3,$D$1,"call")*100</f>
        <v>99.99535185668779</v>
      </c>
      <c r="E8">
        <f>MAX(G8-0.01,0)</f>
        <v>20.059999999999999</v>
      </c>
      <c r="F8">
        <f>G8+0.01</f>
        <v>20.080000000000002</v>
      </c>
      <c r="G8">
        <f>ROUND(bsm($B$1,$H8,$H7,$B$3,$D$3,$D$1,"call"), 2)</f>
        <v>20.07</v>
      </c>
      <c r="H8">
        <v>80</v>
      </c>
      <c r="I8">
        <f>ROUND(bsm($B$1,$H8,$H7,$B$3,$D$3,$D$1,"put"), 2)</f>
        <v>0</v>
      </c>
      <c r="J8">
        <f>MAX(I8-0.01,0)</f>
        <v>0</v>
      </c>
      <c r="K8">
        <f>I8+0.01</f>
        <v>0.01</v>
      </c>
      <c r="L8" s="18">
        <f>bsm_delta($B$1,$H8,$H7,$B$3,$D$3,$D$1,"put")*100</f>
        <v>-4.6481433122054217E-3</v>
      </c>
      <c r="M8" s="20">
        <f>bsm_gamma($B$1,$H8,$H7,$B$3,$D$3,$D$1)*100</f>
        <v>3.3316115825715816E-3</v>
      </c>
      <c r="N8" s="18">
        <f>bsm_theta($B$1,$H8,$H7,$B$3,$D$3,$D$1,"put")/365</f>
        <v>-1.8126347003035212E-5</v>
      </c>
      <c r="O8" s="20">
        <f>bsm_vega($B$1,$H8,$H7,$B$3,$D$3,$D$1)/100</f>
        <v>5.5526859709526357E-5</v>
      </c>
      <c r="P8">
        <f>G8+I8</f>
        <v>20.07</v>
      </c>
      <c r="Q8">
        <f>E8+J8</f>
        <v>20.059999999999999</v>
      </c>
      <c r="R8">
        <f>F8+K8</f>
        <v>20.090000000000003</v>
      </c>
    </row>
    <row r="9" spans="1:28" x14ac:dyDescent="0.25">
      <c r="A9" s="18">
        <f>bsm_vega($B$1,$H9,$H7,$B$3,$D$3,$D$1)/100</f>
        <v>1.9380384571352342E-3</v>
      </c>
      <c r="B9" s="18">
        <f>bsm_theta($B$1,$H9,$H7,$B$3,$D$3,$D$1,"call")/365</f>
        <v>-2.9580540472519535E-3</v>
      </c>
      <c r="C9" s="18">
        <f>bsm_gamma($B$1,$H9,$H7,$B$3,$D$3,$D$1)*100</f>
        <v>0.11628230742811403</v>
      </c>
      <c r="D9" s="18">
        <f>bsm_delta($B$1,$H9,$H7,$B$3,$D$3,$D$1,"call")*100</f>
        <v>99.786981974032287</v>
      </c>
      <c r="E9">
        <f t="shared" ref="E9:E16" si="0">MAX(G9-0.01,0)</f>
        <v>15.06</v>
      </c>
      <c r="F9">
        <f t="shared" ref="F9:F16" si="1">G9+0.01</f>
        <v>15.08</v>
      </c>
      <c r="G9">
        <f>ROUND(bsm($B$1,$H9,$H7,$B$3,$D$3,$D$1,"call"), 2)</f>
        <v>15.07</v>
      </c>
      <c r="H9">
        <v>85</v>
      </c>
      <c r="I9">
        <f>ROUND(bsm($B$1,$H9,$H7,$B$3,$D$3,$D$1,"put"), 2)</f>
        <v>0</v>
      </c>
      <c r="J9">
        <f t="shared" ref="J9:J16" si="2">MAX(I9-0.01,0)</f>
        <v>0</v>
      </c>
      <c r="K9">
        <f t="shared" ref="K9:K16" si="3">I9+0.01</f>
        <v>0.01</v>
      </c>
      <c r="L9" s="18">
        <f>bsm_delta($B$1,$H9,$H7,$B$3,$D$3,$D$1,"put")*100</f>
        <v>-0.21301802596771632</v>
      </c>
      <c r="M9" s="20">
        <f>bsm_gamma($B$1,$H9,$H7,$B$3,$D$3,$D$1)*100</f>
        <v>0.11628230742811403</v>
      </c>
      <c r="N9" s="18">
        <f>bsm_theta($B$1,$H9,$H7,$B$3,$D$3,$D$1,"put")/365</f>
        <v>-6.3122675485855709E-4</v>
      </c>
      <c r="O9" s="20">
        <f>bsm_vega($B$1,$H9,$H7,$B$3,$D$3,$D$1)/100</f>
        <v>1.9380384571352342E-3</v>
      </c>
      <c r="P9">
        <f t="shared" ref="P9:P16" si="4">G9+I9</f>
        <v>15.07</v>
      </c>
      <c r="Q9">
        <f t="shared" ref="Q9:Q16" si="5">E9+J9</f>
        <v>15.06</v>
      </c>
      <c r="R9">
        <f t="shared" ref="R9:R16" si="6">F9+K9</f>
        <v>15.09</v>
      </c>
      <c r="T9" t="s">
        <v>39</v>
      </c>
    </row>
    <row r="10" spans="1:28" x14ac:dyDescent="0.25">
      <c r="A10" s="18">
        <f>bsm_vega($B$1,$H10,$H7,$B$3,$D$3,$D$1)/100</f>
        <v>2.011125875250893E-2</v>
      </c>
      <c r="B10" s="18">
        <f>bsm_theta($B$1,$H10,$H7,$B$3,$D$3,$D$1,"call")/365</f>
        <v>-8.9891149071752857E-3</v>
      </c>
      <c r="C10" s="18">
        <f>bsm_gamma($B$1,$H10,$H7,$B$3,$D$3,$D$1)*100</f>
        <v>1.2066755251505361</v>
      </c>
      <c r="D10" s="18">
        <f>bsm_delta($B$1,$H10,$H7,$B$3,$D$3,$D$1,"call")*100</f>
        <v>96.913282622997116</v>
      </c>
      <c r="E10">
        <f t="shared" si="0"/>
        <v>10.14</v>
      </c>
      <c r="F10">
        <f t="shared" si="1"/>
        <v>10.16</v>
      </c>
      <c r="G10">
        <f>ROUND(bsm($B$1,$H10,$H7,$B$3,$D$3,$D$1,"call"), 2)</f>
        <v>10.15</v>
      </c>
      <c r="H10">
        <v>90</v>
      </c>
      <c r="I10">
        <f>ROUND(bsm($B$1,$H10,$H7,$B$3,$D$3,$D$1,"put"), 2)</f>
        <v>7.0000000000000007E-2</v>
      </c>
      <c r="J10">
        <f t="shared" si="2"/>
        <v>6.0000000000000005E-2</v>
      </c>
      <c r="K10">
        <f t="shared" si="3"/>
        <v>0.08</v>
      </c>
      <c r="L10" s="18">
        <f>bsm_delta($B$1,$H10,$H7,$B$3,$D$3,$D$1,"put")*100</f>
        <v>-3.0867173770028882</v>
      </c>
      <c r="M10" s="20">
        <f>bsm_gamma($B$1,$H10,$H7,$B$3,$D$3,$D$1)*100</f>
        <v>1.2066755251505361</v>
      </c>
      <c r="N10" s="18">
        <f>bsm_theta($B$1,$H10,$H7,$B$3,$D$3,$D$1,"put")/365</f>
        <v>-6.5254154211116903E-3</v>
      </c>
      <c r="O10" s="20">
        <f>bsm_vega($B$1,$H10,$H7,$B$3,$D$3,$D$1)/100</f>
        <v>2.011125875250893E-2</v>
      </c>
      <c r="P10">
        <f t="shared" si="4"/>
        <v>10.220000000000001</v>
      </c>
      <c r="Q10">
        <f t="shared" si="5"/>
        <v>10.200000000000001</v>
      </c>
      <c r="R10">
        <f t="shared" si="6"/>
        <v>10.24</v>
      </c>
      <c r="U10" s="22" t="s">
        <v>40</v>
      </c>
      <c r="V10" s="22" t="s">
        <v>36</v>
      </c>
      <c r="W10" s="25" t="s">
        <v>41</v>
      </c>
      <c r="X10" s="22" t="s">
        <v>32</v>
      </c>
      <c r="Y10" s="22" t="s">
        <v>33</v>
      </c>
    </row>
    <row r="11" spans="1:28" x14ac:dyDescent="0.25">
      <c r="A11" s="18">
        <f>bsm_vega($B$1,$H11,$H7,$B$3,$D$3,$D$1)/100</f>
        <v>7.4612320126554041E-2</v>
      </c>
      <c r="B11" s="18">
        <f>bsm_theta($B$1,$H11,$H7,$B$3,$D$3,$D$1,"call")/365</f>
        <v>-2.6633781025502401E-2</v>
      </c>
      <c r="C11" s="18">
        <f>bsm_gamma($B$1,$H11,$H7,$B$3,$D$3,$D$1)*100</f>
        <v>4.4767392075932433</v>
      </c>
      <c r="D11" s="18">
        <f>bsm_delta($B$1,$H11,$H7,$B$3,$D$3,$D$1,"call")*100</f>
        <v>82.426123446535016</v>
      </c>
      <c r="E11">
        <f t="shared" si="0"/>
        <v>5.63</v>
      </c>
      <c r="F11">
        <f t="shared" si="1"/>
        <v>5.6499999999999995</v>
      </c>
      <c r="G11">
        <f>ROUND(bsm($B$1,$H11,$H7,$B$3,$D$3,$D$1,"call"), 2)</f>
        <v>5.64</v>
      </c>
      <c r="H11">
        <v>95</v>
      </c>
      <c r="I11">
        <f>ROUND(bsm($B$1,$H11,$H7,$B$3,$D$3,$D$1,"put"), 2)</f>
        <v>0.56000000000000005</v>
      </c>
      <c r="J11">
        <f t="shared" si="2"/>
        <v>0.55000000000000004</v>
      </c>
      <c r="K11">
        <f t="shared" si="3"/>
        <v>0.57000000000000006</v>
      </c>
      <c r="L11" s="18">
        <f>bsm_delta($B$1,$H11,$H7,$B$3,$D$3,$D$1,"put")*100</f>
        <v>-17.573876553464977</v>
      </c>
      <c r="M11" s="20">
        <f>bsm_gamma($B$1,$H11,$H7,$B$3,$D$3,$D$1)*100</f>
        <v>4.4767392075932433</v>
      </c>
      <c r="N11" s="18">
        <f>bsm_theta($B$1,$H11,$H7,$B$3,$D$3,$D$1,"put")/365</f>
        <v>-2.4033209345768605E-2</v>
      </c>
      <c r="O11" s="20">
        <f>bsm_vega($B$1,$H11,$H7,$B$3,$D$3,$D$1)/100</f>
        <v>7.4612320126554041E-2</v>
      </c>
      <c r="P11">
        <f t="shared" si="4"/>
        <v>6.1999999999999993</v>
      </c>
      <c r="Q11">
        <f t="shared" si="5"/>
        <v>6.18</v>
      </c>
      <c r="R11">
        <f t="shared" si="6"/>
        <v>6.22</v>
      </c>
      <c r="U11" s="22">
        <f>P11</f>
        <v>6.1999999999999993</v>
      </c>
      <c r="V11" s="26">
        <f>W5-X5+Y5</f>
        <v>5.0791666666666666</v>
      </c>
      <c r="X11" s="26">
        <f>(U11+V11)/2</f>
        <v>5.6395833333333325</v>
      </c>
      <c r="Y11" s="26">
        <f>U11-X11</f>
        <v>0.56041666666666679</v>
      </c>
    </row>
    <row r="12" spans="1:28" x14ac:dyDescent="0.25">
      <c r="A12" s="19">
        <f>bsm_vega($B$1,$H12,$H7,$B$3,$D$3,$D$1)/100</f>
        <v>0.11505680016241819</v>
      </c>
      <c r="B12" s="19">
        <f>bsm_theta($B$1,$H12,$H7,$B$3,$D$3,$D$1,"call")/365</f>
        <v>-3.9179852840709219E-2</v>
      </c>
      <c r="C12" s="19">
        <f>bsm_gamma($B$1,$H12,$H7,$B$3,$D$3,$D$1)*100</f>
        <v>6.9034080097450916</v>
      </c>
      <c r="D12" s="19">
        <f>bsm_delta($B$1,$H12,$H7,$B$3,$D$3,$D$1,"call")*100</f>
        <v>51.726931064542725</v>
      </c>
      <c r="E12" s="15">
        <f t="shared" si="0"/>
        <v>2.33</v>
      </c>
      <c r="F12" s="15">
        <f t="shared" si="1"/>
        <v>2.3499999999999996</v>
      </c>
      <c r="G12" s="15">
        <f>ROUND(bsm($B$1,$H12,$H7,$B$3,$D$3,$D$1,"call"), 2)</f>
        <v>2.34</v>
      </c>
      <c r="H12" s="15">
        <v>100</v>
      </c>
      <c r="I12" s="15">
        <f>ROUND(bsm($B$1,$H12,$H7,$B$3,$D$3,$D$1,"put"), 2)</f>
        <v>2.2599999999999998</v>
      </c>
      <c r="J12" s="15">
        <f t="shared" si="2"/>
        <v>2.25</v>
      </c>
      <c r="K12" s="15">
        <f t="shared" si="3"/>
        <v>2.2699999999999996</v>
      </c>
      <c r="L12" s="19">
        <f>bsm_delta($B$1,$H12,$H7,$B$3,$D$3,$D$1,"put")*100</f>
        <v>-48.273068935457268</v>
      </c>
      <c r="M12" s="21">
        <f>bsm_gamma($B$1,$H12,$H7,$B$3,$D$3,$D$1)*100</f>
        <v>6.9034080097450916</v>
      </c>
      <c r="N12" s="19">
        <f>bsm_theta($B$1,$H12,$H7,$B$3,$D$3,$D$1,"put")/365</f>
        <v>-3.6442408967305231E-2</v>
      </c>
      <c r="O12" s="21">
        <f>bsm_vega($B$1,$H12,$H7,$B$3,$D$3,$D$1)/100</f>
        <v>0.11505680016241819</v>
      </c>
      <c r="P12" s="15">
        <f t="shared" si="4"/>
        <v>4.5999999999999996</v>
      </c>
      <c r="Q12" s="15">
        <f t="shared" si="5"/>
        <v>4.58</v>
      </c>
      <c r="R12" s="15">
        <f t="shared" si="6"/>
        <v>4.6199999999999992</v>
      </c>
      <c r="U12" t="s">
        <v>73</v>
      </c>
    </row>
    <row r="13" spans="1:28" x14ac:dyDescent="0.25">
      <c r="A13" s="18">
        <f>bsm_vega($B$1,$H13,$H7,$B$3,$D$3,$D$1)/100</f>
        <v>8.3508341582473597E-2</v>
      </c>
      <c r="B13" s="18">
        <f>bsm_theta($B$1,$H13,$H7,$B$3,$D$3,$D$1,"call")/365</f>
        <v>-2.8015378558353822E-2</v>
      </c>
      <c r="C13" s="18">
        <f>bsm_gamma($B$1,$H13,$H7,$B$3,$D$3,$D$1)*100</f>
        <v>5.010500494948416</v>
      </c>
      <c r="D13" s="18">
        <f>bsm_delta($B$1,$H13,$H7,$B$3,$D$3,$D$1,"call")*100</f>
        <v>21.134324998571685</v>
      </c>
      <c r="E13">
        <f t="shared" si="0"/>
        <v>0.66</v>
      </c>
      <c r="F13">
        <f t="shared" si="1"/>
        <v>0.68</v>
      </c>
      <c r="G13">
        <f>ROUND(bsm($B$1,$H13,$H7,$B$3,$D$3,$D$1,"call"), 2)</f>
        <v>0.67</v>
      </c>
      <c r="H13">
        <v>105</v>
      </c>
      <c r="I13">
        <f>ROUND(bsm($B$1,$H13,$H7,$B$3,$D$3,$D$1,"put"), 2)</f>
        <v>5.59</v>
      </c>
      <c r="J13">
        <f t="shared" si="2"/>
        <v>5.58</v>
      </c>
      <c r="K13">
        <f t="shared" si="3"/>
        <v>5.6</v>
      </c>
      <c r="L13" s="18">
        <f>bsm_delta($B$1,$H13,$H7,$B$3,$D$3,$D$1,"put")*100</f>
        <v>-78.865675001428315</v>
      </c>
      <c r="M13" s="20">
        <f>bsm_gamma($B$1,$H13,$H7,$B$3,$D$3,$D$1)*100</f>
        <v>5.010500494948416</v>
      </c>
      <c r="N13" s="18">
        <f>bsm_theta($B$1,$H13,$H7,$B$3,$D$3,$D$1,"put")/365</f>
        <v>-2.514106249127963E-2</v>
      </c>
      <c r="O13" s="20">
        <f>bsm_vega($B$1,$H13,$H7,$B$3,$D$3,$D$1)/100</f>
        <v>8.3508341582473597E-2</v>
      </c>
      <c r="P13">
        <f t="shared" si="4"/>
        <v>6.26</v>
      </c>
      <c r="Q13">
        <f t="shared" si="5"/>
        <v>6.24</v>
      </c>
      <c r="R13">
        <f t="shared" si="6"/>
        <v>6.2799999999999994</v>
      </c>
    </row>
    <row r="14" spans="1:28" x14ac:dyDescent="0.25">
      <c r="A14" s="18">
        <f>bsm_vega($B$1,$H14,$H7,$B$3,$D$3,$D$1)/100</f>
        <v>3.1636262166391926E-2</v>
      </c>
      <c r="B14" s="18">
        <f>bsm_theta($B$1,$H14,$H7,$B$3,$D$3,$D$1,"call")/365</f>
        <v>-1.0545292157696092E-2</v>
      </c>
      <c r="C14" s="18">
        <f>bsm_gamma($B$1,$H14,$H7,$B$3,$D$3,$D$1)*100</f>
        <v>1.8981757299835156</v>
      </c>
      <c r="D14" s="18">
        <f>bsm_delta($B$1,$H14,$H7,$B$3,$D$3,$D$1,"call")*100</f>
        <v>5.3970231056400664</v>
      </c>
      <c r="E14">
        <f t="shared" si="0"/>
        <v>0.12000000000000001</v>
      </c>
      <c r="F14">
        <f t="shared" si="1"/>
        <v>0.14000000000000001</v>
      </c>
      <c r="G14">
        <f>ROUND(bsm($B$1,$H14,$H7,$B$3,$D$3,$D$1,"call"), 2)</f>
        <v>0.13</v>
      </c>
      <c r="H14">
        <v>110</v>
      </c>
      <c r="I14">
        <f>ROUND(bsm($B$1,$H14,$H7,$B$3,$D$3,$D$1,"put"), 2)</f>
        <v>10.039999999999999</v>
      </c>
      <c r="J14">
        <f t="shared" si="2"/>
        <v>10.029999999999999</v>
      </c>
      <c r="K14">
        <f t="shared" si="3"/>
        <v>10.049999999999999</v>
      </c>
      <c r="L14" s="18">
        <f>bsm_delta($B$1,$H14,$H7,$B$3,$D$3,$D$1,"put")*100</f>
        <v>-94.602976894359941</v>
      </c>
      <c r="M14" s="20">
        <f>bsm_gamma($B$1,$H14,$H7,$B$3,$D$3,$D$1)*100</f>
        <v>1.8981757299835156</v>
      </c>
      <c r="N14" s="18">
        <f>bsm_theta($B$1,$H14,$H7,$B$3,$D$3,$D$1,"put")/365</f>
        <v>-7.5341038969516981E-3</v>
      </c>
      <c r="O14" s="20">
        <f>bsm_vega($B$1,$H14,$H7,$B$3,$D$3,$D$1)/100</f>
        <v>3.1636262166391926E-2</v>
      </c>
      <c r="P14">
        <f t="shared" si="4"/>
        <v>10.17</v>
      </c>
      <c r="Q14">
        <f t="shared" si="5"/>
        <v>10.149999999999999</v>
      </c>
      <c r="R14">
        <f t="shared" si="6"/>
        <v>10.19</v>
      </c>
      <c r="T14" t="s">
        <v>49</v>
      </c>
    </row>
    <row r="15" spans="1:28" x14ac:dyDescent="0.25">
      <c r="A15" s="18">
        <f>bsm_vega($B$1,$H15,$H7,$B$3,$D$3,$D$1)/100</f>
        <v>6.8225772556499524E-3</v>
      </c>
      <c r="B15" s="18">
        <f>bsm_theta($B$1,$H15,$H7,$B$3,$D$3,$D$1,"call")/365</f>
        <v>-2.2664674629613861E-3</v>
      </c>
      <c r="C15" s="18">
        <f>bsm_gamma($B$1,$H15,$H7,$B$3,$D$3,$D$1)*100</f>
        <v>0.40935463533899719</v>
      </c>
      <c r="D15" s="18">
        <f>bsm_delta($B$1,$H15,$H7,$B$3,$D$3,$D$1,"call")*100</f>
        <v>0.87164839092658419</v>
      </c>
      <c r="E15">
        <f t="shared" si="0"/>
        <v>0.01</v>
      </c>
      <c r="F15">
        <f t="shared" si="1"/>
        <v>0.03</v>
      </c>
      <c r="G15">
        <f>ROUND(bsm($B$1,$H15,$H7,$B$3,$D$3,$D$1,"call"), 2)</f>
        <v>0.02</v>
      </c>
      <c r="H15">
        <v>115</v>
      </c>
      <c r="I15">
        <f>ROUND(bsm($B$1,$H15,$H7,$B$3,$D$3,$D$1,"put"), 2)</f>
        <v>14.92</v>
      </c>
      <c r="J15">
        <f t="shared" si="2"/>
        <v>14.91</v>
      </c>
      <c r="K15">
        <f t="shared" si="3"/>
        <v>14.93</v>
      </c>
      <c r="L15" s="18">
        <f>bsm_delta($B$1,$H15,$H7,$B$3,$D$3,$D$1,"put")*100</f>
        <v>-99.12835160907342</v>
      </c>
      <c r="M15" s="20">
        <f>bsm_gamma($B$1,$H15,$H7,$B$3,$D$3,$D$1)*100</f>
        <v>0.40935463533899719</v>
      </c>
      <c r="N15" s="18">
        <f>bsm_theta($B$1,$H15,$H7,$B$3,$D$3,$D$1,"put")/365</f>
        <v>8.8159299145320886E-4</v>
      </c>
      <c r="O15" s="20">
        <f>bsm_vega($B$1,$H15,$H7,$B$3,$D$3,$D$1)/100</f>
        <v>6.8225772556499524E-3</v>
      </c>
      <c r="P15">
        <f t="shared" si="4"/>
        <v>14.94</v>
      </c>
      <c r="Q15">
        <f t="shared" si="5"/>
        <v>14.92</v>
      </c>
      <c r="R15">
        <f t="shared" si="6"/>
        <v>14.959999999999999</v>
      </c>
      <c r="U15" s="22" t="s">
        <v>42</v>
      </c>
      <c r="V15" s="22" t="s">
        <v>43</v>
      </c>
      <c r="W15" s="22" t="s">
        <v>44</v>
      </c>
      <c r="X15" s="22" t="s">
        <v>45</v>
      </c>
      <c r="Y15" s="22" t="s">
        <v>46</v>
      </c>
      <c r="Z15" s="22" t="s">
        <v>47</v>
      </c>
      <c r="AA15" s="22" t="s">
        <v>48</v>
      </c>
      <c r="AB15" s="22" t="s">
        <v>51</v>
      </c>
    </row>
    <row r="16" spans="1:28" x14ac:dyDescent="0.25">
      <c r="A16" s="18">
        <f>bsm_vega($B$1,$H16,$H7,$B$3,$D$3,$D$1)/100</f>
        <v>9.0122041073246301E-4</v>
      </c>
      <c r="B16" s="18">
        <f>bsm_theta($B$1,$H16,$H7,$B$3,$D$3,$D$1,"call")/365</f>
        <v>-2.9877534774351127E-4</v>
      </c>
      <c r="C16" s="18">
        <f>bsm_gamma($B$1,$H16,$H7,$B$3,$D$3,$D$1)*100</f>
        <v>5.407322464394778E-2</v>
      </c>
      <c r="D16" s="18">
        <f>bsm_delta($B$1,$H16,$H7,$B$3,$D$3,$D$1,"call")*100</f>
        <v>9.2097027370627457E-2</v>
      </c>
      <c r="E16">
        <f t="shared" si="0"/>
        <v>0</v>
      </c>
      <c r="F16">
        <f t="shared" si="1"/>
        <v>0.01</v>
      </c>
      <c r="G16">
        <f>ROUND(bsm($B$1,$H16,$H7,$B$3,$D$3,$D$1,"call"), 2)</f>
        <v>0</v>
      </c>
      <c r="H16">
        <v>120</v>
      </c>
      <c r="I16">
        <f>ROUND(bsm($B$1,$H16,$H7,$B$3,$D$3,$D$1,"put"), 2)</f>
        <v>19.899999999999999</v>
      </c>
      <c r="J16">
        <f t="shared" si="2"/>
        <v>19.889999999999997</v>
      </c>
      <c r="K16">
        <f t="shared" si="3"/>
        <v>19.91</v>
      </c>
      <c r="L16" s="18">
        <f>bsm_delta($B$1,$H16,$H7,$B$3,$D$3,$D$1,"put")*100</f>
        <v>-99.907902972629373</v>
      </c>
      <c r="M16" s="20">
        <f>bsm_gamma($B$1,$H16,$H7,$B$3,$D$3,$D$1)*100</f>
        <v>5.407322464394778E-2</v>
      </c>
      <c r="N16" s="18">
        <f>bsm_theta($B$1,$H16,$H7,$B$3,$D$3,$D$1,"put")/365</f>
        <v>2.9861573003412832E-3</v>
      </c>
      <c r="O16" s="20">
        <f>bsm_vega($B$1,$H16,$H7,$B$3,$D$3,$D$1)/100</f>
        <v>9.0122041073246301E-4</v>
      </c>
      <c r="P16">
        <f t="shared" si="4"/>
        <v>19.899999999999999</v>
      </c>
      <c r="Q16">
        <f t="shared" si="5"/>
        <v>19.889999999999997</v>
      </c>
      <c r="R16">
        <f t="shared" si="6"/>
        <v>19.920000000000002</v>
      </c>
      <c r="U16" s="22">
        <f>G11</f>
        <v>5.64</v>
      </c>
      <c r="V16" s="22">
        <f>I11</f>
        <v>0.56000000000000005</v>
      </c>
      <c r="W16" s="22">
        <f>G12</f>
        <v>2.34</v>
      </c>
      <c r="X16" s="22">
        <f>I12</f>
        <v>2.2599999999999998</v>
      </c>
      <c r="Y16" s="22">
        <f>U16-W16</f>
        <v>3.3</v>
      </c>
      <c r="Z16" s="22">
        <f>X16-V16</f>
        <v>1.6999999999999997</v>
      </c>
      <c r="AA16" s="23">
        <f>Y16+Z16</f>
        <v>5</v>
      </c>
      <c r="AB16" s="24">
        <f>(H12-H11)*EXP(-B3*H7)</f>
        <v>4.9958350689622915</v>
      </c>
    </row>
    <row r="17" spans="1:26" x14ac:dyDescent="0.25">
      <c r="U17" t="s">
        <v>50</v>
      </c>
    </row>
    <row r="18" spans="1:26" x14ac:dyDescent="0.25">
      <c r="U18" t="s">
        <v>52</v>
      </c>
    </row>
    <row r="20" spans="1:26" x14ac:dyDescent="0.25">
      <c r="A20" s="30" t="s">
        <v>20</v>
      </c>
      <c r="B20" s="30"/>
      <c r="C20" s="30"/>
      <c r="D20" s="30"/>
      <c r="E20" s="30"/>
      <c r="F20" s="30"/>
      <c r="G20" s="30"/>
      <c r="H20" s="17" t="s">
        <v>15</v>
      </c>
      <c r="I20" s="30" t="s">
        <v>21</v>
      </c>
      <c r="J20" s="30"/>
      <c r="K20" s="30"/>
      <c r="L20" s="30"/>
      <c r="M20" s="30"/>
      <c r="N20" s="30"/>
      <c r="O20" s="30"/>
      <c r="P20" s="30" t="s">
        <v>30</v>
      </c>
      <c r="Q20" s="30"/>
      <c r="R20" s="30"/>
    </row>
    <row r="21" spans="1:26" x14ac:dyDescent="0.25">
      <c r="A21" s="16" t="s">
        <v>25</v>
      </c>
      <c r="B21" s="16" t="s">
        <v>26</v>
      </c>
      <c r="C21" s="16" t="s">
        <v>24</v>
      </c>
      <c r="D21" s="16" t="s">
        <v>23</v>
      </c>
      <c r="E21" s="16" t="s">
        <v>28</v>
      </c>
      <c r="F21" s="16" t="s">
        <v>29</v>
      </c>
      <c r="G21" s="16" t="s">
        <v>22</v>
      </c>
      <c r="H21" s="16">
        <f>2/12</f>
        <v>0.16666666666666666</v>
      </c>
      <c r="I21" s="16" t="s">
        <v>22</v>
      </c>
      <c r="J21" s="16" t="s">
        <v>28</v>
      </c>
      <c r="K21" s="16" t="s">
        <v>29</v>
      </c>
      <c r="L21" s="16" t="s">
        <v>23</v>
      </c>
      <c r="M21" s="16" t="s">
        <v>24</v>
      </c>
      <c r="N21" s="16" t="s">
        <v>26</v>
      </c>
      <c r="O21" s="16" t="s">
        <v>25</v>
      </c>
      <c r="P21" s="16" t="s">
        <v>22</v>
      </c>
      <c r="Q21" s="16" t="s">
        <v>28</v>
      </c>
      <c r="R21" s="16" t="s">
        <v>29</v>
      </c>
      <c r="T21" t="s">
        <v>53</v>
      </c>
    </row>
    <row r="22" spans="1:26" x14ac:dyDescent="0.25">
      <c r="A22" s="18">
        <f>bsm_vega($B$1,$H22,$H21,$B$3,$D$3,$D$1)/100</f>
        <v>3.2845380260051321E-3</v>
      </c>
      <c r="B22" s="18">
        <f>bsm_theta($B$1,$H22,$H21,$B$3,$D$3,$D$1,"call")/365</f>
        <v>-2.7207496195161447E-3</v>
      </c>
      <c r="C22" s="18">
        <f>bsm_gamma($B$1,$H22,$H21,$B$3,$D$3,$D$1)*100</f>
        <v>9.8536140780153936E-2</v>
      </c>
      <c r="D22" s="18">
        <f>bsm_delta($B$1,$H22,$H21,$B$3,$D$3,$D$1,"call")*100</f>
        <v>99.739839598745959</v>
      </c>
      <c r="E22">
        <f>MAX(G22-0.01,0)</f>
        <v>20.13</v>
      </c>
      <c r="F22">
        <f>G22+0.01</f>
        <v>20.150000000000002</v>
      </c>
      <c r="G22">
        <f>ROUND(bsm($B$1,$H22,$H21,$B$3,$D$3,$D$1,"call"), 2)</f>
        <v>20.14</v>
      </c>
      <c r="H22">
        <v>80</v>
      </c>
      <c r="I22">
        <f>ROUND(bsm($B$1,$H22,$H21,$B$3,$D$3,$D$1,"put"), 2)</f>
        <v>0.01</v>
      </c>
      <c r="J22">
        <f>MAX(I22-0.01,0)</f>
        <v>0</v>
      </c>
      <c r="K22">
        <f>I22+0.01</f>
        <v>0.02</v>
      </c>
      <c r="L22" s="18">
        <f>bsm_delta($B$1,$H22,$H21,$B$3,$D$3,$D$1,"put")*100</f>
        <v>-0.26016040125404472</v>
      </c>
      <c r="M22" s="20">
        <f>bsm_gamma($B$1,$H22,$H21,$B$3,$D$3,$D$1)*100</f>
        <v>9.8536140780153936E-2</v>
      </c>
      <c r="N22" s="18">
        <f>bsm_theta($B$1,$H22,$H21,$B$3,$D$3,$D$1,"put")/365</f>
        <v>-5.326187231853199E-4</v>
      </c>
      <c r="O22" s="20">
        <f>bsm_vega($B$1,$H22,$H21,$B$3,$D$3,$D$1)/100</f>
        <v>3.2845380260051321E-3</v>
      </c>
      <c r="P22">
        <f>G22+I22</f>
        <v>20.150000000000002</v>
      </c>
      <c r="Q22">
        <f>E22+J22</f>
        <v>20.13</v>
      </c>
      <c r="R22">
        <f>F22+K22</f>
        <v>20.170000000000002</v>
      </c>
      <c r="T22" t="s">
        <v>57</v>
      </c>
    </row>
    <row r="23" spans="1:26" x14ac:dyDescent="0.25">
      <c r="A23" s="18">
        <f>bsm_vega($B$1,$H23,$H21,$B$3,$D$3,$D$1)/100</f>
        <v>1.9850766691761459E-2</v>
      </c>
      <c r="B23" s="18">
        <f>bsm_theta($B$1,$H23,$H21,$B$3,$D$3,$D$1,"call")/365</f>
        <v>-5.5312608856229037E-3</v>
      </c>
      <c r="C23" s="18">
        <f>bsm_gamma($B$1,$H23,$H21,$B$3,$D$3,$D$1)*100</f>
        <v>0.59552300075284381</v>
      </c>
      <c r="D23" s="18">
        <f>bsm_delta($B$1,$H23,$H21,$B$3,$D$3,$D$1,"call")*100</f>
        <v>97.989958972844306</v>
      </c>
      <c r="E23">
        <f t="shared" ref="E23:E30" si="7">MAX(G23-0.01,0)</f>
        <v>15.19</v>
      </c>
      <c r="F23">
        <f t="shared" ref="F23:F30" si="8">G23+0.01</f>
        <v>15.209999999999999</v>
      </c>
      <c r="G23">
        <f>ROUND(bsm($B$1,$H23,$H21,$B$3,$D$3,$D$1,"call"), 2)</f>
        <v>15.2</v>
      </c>
      <c r="H23">
        <v>85</v>
      </c>
      <c r="I23">
        <f>ROUND(bsm($B$1,$H23,$H21,$B$3,$D$3,$D$1,"put"), 2)</f>
        <v>0.06</v>
      </c>
      <c r="J23">
        <f t="shared" ref="J23:J30" si="9">MAX(I23-0.01,0)</f>
        <v>4.9999999999999996E-2</v>
      </c>
      <c r="K23">
        <f t="shared" ref="K23:K30" si="10">I23+0.01</f>
        <v>6.9999999999999993E-2</v>
      </c>
      <c r="L23" s="18">
        <f>bsm_delta($B$1,$H23,$H21,$B$3,$D$3,$D$1,"put")*100</f>
        <v>-2.0100410271556979</v>
      </c>
      <c r="M23" s="20">
        <f>bsm_gamma($B$1,$H23,$H21,$B$3,$D$3,$D$1)*100</f>
        <v>0.59552300075284381</v>
      </c>
      <c r="N23" s="18">
        <f>bsm_theta($B$1,$H23,$H21,$B$3,$D$3,$D$1,"put")/365</f>
        <v>-3.2063718082714029E-3</v>
      </c>
      <c r="O23" s="20">
        <f>bsm_vega($B$1,$H23,$H21,$B$3,$D$3,$D$1)/100</f>
        <v>1.9850766691761459E-2</v>
      </c>
      <c r="P23">
        <f t="shared" ref="P23:P30" si="11">G23+I23</f>
        <v>15.26</v>
      </c>
      <c r="Q23">
        <f t="shared" ref="Q23:Q30" si="12">E23+J23</f>
        <v>15.24</v>
      </c>
      <c r="R23">
        <f t="shared" ref="R23:R30" si="13">F23+K23</f>
        <v>15.28</v>
      </c>
      <c r="U23" t="s">
        <v>42</v>
      </c>
      <c r="V23" t="s">
        <v>44</v>
      </c>
      <c r="W23" t="s">
        <v>46</v>
      </c>
      <c r="X23" t="s">
        <v>54</v>
      </c>
      <c r="Y23" t="s">
        <v>55</v>
      </c>
      <c r="Z23" t="s">
        <v>56</v>
      </c>
    </row>
    <row r="24" spans="1:26" x14ac:dyDescent="0.25">
      <c r="A24" s="18">
        <f>bsm_vega($B$1,$H24,$H21,$B$3,$D$3,$D$1)/100</f>
        <v>6.5331790464471351E-2</v>
      </c>
      <c r="B24" s="18">
        <f>bsm_theta($B$1,$H24,$H21,$B$3,$D$3,$D$1,"call")/365</f>
        <v>-1.2949920944587322E-2</v>
      </c>
      <c r="C24" s="18">
        <f>bsm_gamma($B$1,$H24,$H21,$B$3,$D$3,$D$1)*100</f>
        <v>1.9599537139341408</v>
      </c>
      <c r="D24" s="18">
        <f>bsm_delta($B$1,$H24,$H21,$B$3,$D$3,$D$1,"call")*100</f>
        <v>91.175390688145526</v>
      </c>
      <c r="E24">
        <f t="shared" si="7"/>
        <v>10.48</v>
      </c>
      <c r="F24">
        <f t="shared" si="8"/>
        <v>10.5</v>
      </c>
      <c r="G24">
        <f>ROUND(bsm($B$1,$H24,$H21,$B$3,$D$3,$D$1,"call"), 2)</f>
        <v>10.49</v>
      </c>
      <c r="H24">
        <v>90</v>
      </c>
      <c r="I24">
        <f>ROUND(bsm($B$1,$H24,$H21,$B$3,$D$3,$D$1,"put"), 2)</f>
        <v>0.34</v>
      </c>
      <c r="J24">
        <f t="shared" si="9"/>
        <v>0.33</v>
      </c>
      <c r="K24">
        <f t="shared" si="10"/>
        <v>0.35000000000000003</v>
      </c>
      <c r="L24" s="18">
        <f>bsm_delta($B$1,$H24,$H21,$B$3,$D$3,$D$1,"put")*100</f>
        <v>-8.8246093118544646</v>
      </c>
      <c r="M24" s="20">
        <f>bsm_gamma($B$1,$H24,$H21,$B$3,$D$3,$D$1)*100</f>
        <v>1.9599537139341408</v>
      </c>
      <c r="N24" s="18">
        <f>bsm_theta($B$1,$H24,$H21,$B$3,$D$3,$D$1,"put")/365</f>
        <v>-1.0488273686215143E-2</v>
      </c>
      <c r="O24" s="20">
        <f>bsm_vega($B$1,$H24,$H21,$B$3,$D$3,$D$1)/100</f>
        <v>6.5331790464471351E-2</v>
      </c>
      <c r="P24">
        <f t="shared" si="11"/>
        <v>10.83</v>
      </c>
      <c r="Q24">
        <f t="shared" si="12"/>
        <v>10.81</v>
      </c>
      <c r="R24">
        <f t="shared" si="13"/>
        <v>10.85</v>
      </c>
      <c r="U24" s="22">
        <f>G11</f>
        <v>5.64</v>
      </c>
      <c r="V24" s="22">
        <f>G13</f>
        <v>0.67</v>
      </c>
      <c r="W24" s="22">
        <f>U24-V24</f>
        <v>4.97</v>
      </c>
      <c r="X24" s="27">
        <f>B11-B13</f>
        <v>1.381597532851421E-3</v>
      </c>
      <c r="Y24" s="22">
        <f>H13-H11</f>
        <v>10</v>
      </c>
      <c r="Z24" s="28">
        <f>Y24/W24-1</f>
        <v>1.0120724346076462</v>
      </c>
    </row>
    <row r="25" spans="1:26" x14ac:dyDescent="0.25">
      <c r="A25" s="18">
        <f>bsm_vega($B$1,$H25,$H21,$B$3,$D$3,$D$1)/100</f>
        <v>0.12841495888481377</v>
      </c>
      <c r="B25" s="18">
        <f>bsm_theta($B$1,$H25,$H21,$B$3,$D$3,$D$1,"call")/365</f>
        <v>-2.3001830395778879E-2</v>
      </c>
      <c r="C25" s="18">
        <f>bsm_gamma($B$1,$H25,$H21,$B$3,$D$3,$D$1)*100</f>
        <v>3.8524487665444132</v>
      </c>
      <c r="D25" s="18">
        <f>bsm_delta($B$1,$H25,$H21,$B$3,$D$3,$D$1,"call")*100</f>
        <v>75.472969577095</v>
      </c>
      <c r="E25">
        <f t="shared" si="7"/>
        <v>6.3900000000000006</v>
      </c>
      <c r="F25">
        <f t="shared" si="8"/>
        <v>6.41</v>
      </c>
      <c r="G25">
        <f>ROUND(bsm($B$1,$H25,$H21,$B$3,$D$3,$D$1,"call"), 2)</f>
        <v>6.4</v>
      </c>
      <c r="H25">
        <v>95</v>
      </c>
      <c r="I25">
        <f>ROUND(bsm($B$1,$H25,$H21,$B$3,$D$3,$D$1,"put"), 2)</f>
        <v>1.24</v>
      </c>
      <c r="J25">
        <f t="shared" si="9"/>
        <v>1.23</v>
      </c>
      <c r="K25">
        <f t="shared" si="10"/>
        <v>1.25</v>
      </c>
      <c r="L25" s="18">
        <f>bsm_delta($B$1,$H25,$H21,$B$3,$D$3,$D$1,"put")*100</f>
        <v>-24.527030422904993</v>
      </c>
      <c r="M25" s="20">
        <f>bsm_gamma($B$1,$H25,$H21,$B$3,$D$3,$D$1)*100</f>
        <v>3.8524487665444132</v>
      </c>
      <c r="N25" s="18">
        <f>bsm_theta($B$1,$H25,$H21,$B$3,$D$3,$D$1,"put")/365</f>
        <v>-2.0403424956386026E-2</v>
      </c>
      <c r="O25" s="20">
        <f>bsm_vega($B$1,$H25,$H21,$B$3,$D$3,$D$1)/100</f>
        <v>0.12841495888481377</v>
      </c>
      <c r="P25">
        <f t="shared" si="11"/>
        <v>7.6400000000000006</v>
      </c>
      <c r="Q25">
        <f t="shared" si="12"/>
        <v>7.620000000000001</v>
      </c>
      <c r="R25">
        <f t="shared" si="13"/>
        <v>7.66</v>
      </c>
    </row>
    <row r="26" spans="1:26" x14ac:dyDescent="0.25">
      <c r="A26" s="19">
        <f>bsm_vega($B$1,$H26,$H21,$B$3,$D$3,$D$1)/100</f>
        <v>0.16256241350938722</v>
      </c>
      <c r="B26" s="19">
        <f>bsm_theta($B$1,$H26,$H21,$B$3,$D$3,$D$1,"call")/365</f>
        <v>-2.8067898415379461E-2</v>
      </c>
      <c r="C26" s="19">
        <f>bsm_gamma($B$1,$H26,$H21,$B$3,$D$3,$D$1)*100</f>
        <v>4.8768724052816168</v>
      </c>
      <c r="D26" s="19">
        <f>bsm_delta($B$1,$H26,$H21,$B$3,$D$3,$D$1,"call")*100</f>
        <v>52.441486535153224</v>
      </c>
      <c r="E26" s="15">
        <f t="shared" si="7"/>
        <v>3.33</v>
      </c>
      <c r="F26" s="15">
        <f t="shared" si="8"/>
        <v>3.3499999999999996</v>
      </c>
      <c r="G26" s="15">
        <f>ROUND(bsm($B$1,$H26,$H21,$B$3,$D$3,$D$1,"call"), 2)</f>
        <v>3.34</v>
      </c>
      <c r="H26" s="15">
        <v>100</v>
      </c>
      <c r="I26" s="15">
        <f>ROUND(bsm($B$1,$H26,$H21,$B$3,$D$3,$D$1,"put"), 2)</f>
        <v>3.17</v>
      </c>
      <c r="J26" s="15">
        <f t="shared" si="9"/>
        <v>3.16</v>
      </c>
      <c r="K26" s="15">
        <f t="shared" si="10"/>
        <v>3.1799999999999997</v>
      </c>
      <c r="L26" s="19">
        <f>bsm_delta($B$1,$H26,$H21,$B$3,$D$3,$D$1,"put")*100</f>
        <v>-47.558513464846783</v>
      </c>
      <c r="M26" s="21">
        <f>bsm_gamma($B$1,$H26,$H21,$B$3,$D$3,$D$1)*100</f>
        <v>4.8768724052816168</v>
      </c>
      <c r="N26" s="19">
        <f>bsm_theta($B$1,$H26,$H21,$B$3,$D$3,$D$1,"put")/365</f>
        <v>-2.5332734794965932E-2</v>
      </c>
      <c r="O26" s="21">
        <f>bsm_vega($B$1,$H26,$H21,$B$3,$D$3,$D$1)/100</f>
        <v>0.16256241350938722</v>
      </c>
      <c r="P26" s="15">
        <f t="shared" si="11"/>
        <v>6.51</v>
      </c>
      <c r="Q26" s="15">
        <f t="shared" si="12"/>
        <v>6.49</v>
      </c>
      <c r="R26" s="15">
        <f t="shared" si="13"/>
        <v>6.5299999999999994</v>
      </c>
      <c r="T26" t="s">
        <v>58</v>
      </c>
    </row>
    <row r="27" spans="1:26" x14ac:dyDescent="0.25">
      <c r="A27" s="18">
        <f>bsm_vega($B$1,$H27,$H21,$B$3,$D$3,$D$1)/100</f>
        <v>0.14105059069980611</v>
      </c>
      <c r="B27" s="18">
        <f>bsm_theta($B$1,$H27,$H21,$B$3,$D$3,$D$1,"call")/365</f>
        <v>-2.3956930490594146E-2</v>
      </c>
      <c r="C27" s="18">
        <f>bsm_gamma($B$1,$H27,$H21,$B$3,$D$3,$D$1)*100</f>
        <v>4.2315177209941828</v>
      </c>
      <c r="D27" s="18">
        <f>bsm_delta($B$1,$H27,$H21,$B$3,$D$3,$D$1,"call")*100</f>
        <v>29.586946885184712</v>
      </c>
      <c r="E27">
        <f t="shared" si="7"/>
        <v>1.45</v>
      </c>
      <c r="F27">
        <f t="shared" si="8"/>
        <v>1.47</v>
      </c>
      <c r="G27">
        <f>ROUND(bsm($B$1,$H27,$H21,$B$3,$D$3,$D$1,"call"), 2)</f>
        <v>1.46</v>
      </c>
      <c r="H27">
        <v>105</v>
      </c>
      <c r="I27">
        <f>ROUND(bsm($B$1,$H27,$H21,$B$3,$D$3,$D$1,"put"), 2)</f>
        <v>6.29</v>
      </c>
      <c r="J27">
        <f t="shared" si="9"/>
        <v>6.28</v>
      </c>
      <c r="K27">
        <f t="shared" si="10"/>
        <v>6.3</v>
      </c>
      <c r="L27" s="18">
        <f>bsm_delta($B$1,$H27,$H21,$B$3,$D$3,$D$1,"put")*100</f>
        <v>-70.413053114815298</v>
      </c>
      <c r="M27" s="20">
        <f>bsm_gamma($B$1,$H27,$H21,$B$3,$D$3,$D$1)*100</f>
        <v>4.2315177209941828</v>
      </c>
      <c r="N27" s="18">
        <f>bsm_theta($B$1,$H27,$H21,$B$3,$D$3,$D$1,"put")/365</f>
        <v>-2.1085008689159943E-2</v>
      </c>
      <c r="O27" s="20">
        <f>bsm_vega($B$1,$H27,$H21,$B$3,$D$3,$D$1)/100</f>
        <v>0.14105059069980611</v>
      </c>
      <c r="P27">
        <f t="shared" si="11"/>
        <v>7.75</v>
      </c>
      <c r="Q27">
        <f t="shared" si="12"/>
        <v>7.73</v>
      </c>
      <c r="R27">
        <f t="shared" si="13"/>
        <v>7.77</v>
      </c>
      <c r="U27" t="s">
        <v>42</v>
      </c>
      <c r="V27" t="s">
        <v>44</v>
      </c>
      <c r="W27" t="s">
        <v>60</v>
      </c>
      <c r="X27" t="s">
        <v>61</v>
      </c>
    </row>
    <row r="28" spans="1:26" x14ac:dyDescent="0.25">
      <c r="A28" s="18">
        <f>bsm_vega($B$1,$H28,$H21,$B$3,$D$3,$D$1)/100</f>
        <v>8.8344360726682988E-2</v>
      </c>
      <c r="B28" s="18">
        <f>bsm_theta($B$1,$H28,$H21,$B$3,$D$3,$D$1,"call")/365</f>
        <v>-1.4875796553871338E-2</v>
      </c>
      <c r="C28" s="18">
        <f>bsm_gamma($B$1,$H28,$H21,$B$3,$D$3,$D$1)*100</f>
        <v>2.6503308218004893</v>
      </c>
      <c r="D28" s="18">
        <f>bsm_delta($B$1,$H28,$H21,$B$3,$D$3,$D$1,"call")*100</f>
        <v>13.434826366340769</v>
      </c>
      <c r="E28">
        <f t="shared" si="7"/>
        <v>0.52</v>
      </c>
      <c r="F28">
        <f t="shared" si="8"/>
        <v>0.54</v>
      </c>
      <c r="G28">
        <f>ROUND(bsm($B$1,$H28,$H21,$B$3,$D$3,$D$1,"call"), 2)</f>
        <v>0.53</v>
      </c>
      <c r="H28">
        <v>110</v>
      </c>
      <c r="I28">
        <f>ROUND(bsm($B$1,$H28,$H21,$B$3,$D$3,$D$1,"put"), 2)</f>
        <v>10.35</v>
      </c>
      <c r="J28">
        <f t="shared" si="9"/>
        <v>10.34</v>
      </c>
      <c r="K28">
        <f t="shared" si="10"/>
        <v>10.36</v>
      </c>
      <c r="L28" s="18">
        <f>bsm_delta($B$1,$H28,$H21,$B$3,$D$3,$D$1,"put")*100</f>
        <v>-86.565173633659228</v>
      </c>
      <c r="M28" s="20">
        <f>bsm_gamma($B$1,$H28,$H21,$B$3,$D$3,$D$1)*100</f>
        <v>2.6503308218004893</v>
      </c>
      <c r="N28" s="18">
        <f>bsm_theta($B$1,$H28,$H21,$B$3,$D$3,$D$1,"put")/365</f>
        <v>-1.1867116571416456E-2</v>
      </c>
      <c r="O28" s="20">
        <f>bsm_vega($B$1,$H28,$H21,$B$3,$D$3,$D$1)/100</f>
        <v>8.8344360726682988E-2</v>
      </c>
      <c r="P28">
        <f t="shared" si="11"/>
        <v>10.879999999999999</v>
      </c>
      <c r="Q28">
        <f t="shared" si="12"/>
        <v>10.86</v>
      </c>
      <c r="R28">
        <f t="shared" si="13"/>
        <v>10.899999999999999</v>
      </c>
      <c r="U28" s="22">
        <f>G11</f>
        <v>5.64</v>
      </c>
      <c r="V28" s="22">
        <f>G12</f>
        <v>2.34</v>
      </c>
      <c r="W28" s="22">
        <f>G13</f>
        <v>0.67</v>
      </c>
      <c r="X28" s="22">
        <f>U28+W28-V28</f>
        <v>3.9699999999999998</v>
      </c>
    </row>
    <row r="29" spans="1:26" x14ac:dyDescent="0.25">
      <c r="A29" s="18">
        <f>bsm_vega($B$1,$H29,$H21,$B$3,$D$3,$D$1)/100</f>
        <v>4.1715736332771571E-2</v>
      </c>
      <c r="B29" s="18">
        <f>bsm_theta($B$1,$H29,$H21,$B$3,$D$3,$D$1,"call")/365</f>
        <v>-6.9883081396283336E-3</v>
      </c>
      <c r="C29" s="18">
        <f>bsm_gamma($B$1,$H29,$H21,$B$3,$D$3,$D$1)*100</f>
        <v>1.2514720899831471</v>
      </c>
      <c r="D29" s="18">
        <f>bsm_delta($B$1,$H29,$H21,$B$3,$D$3,$D$1,"call")*100</f>
        <v>4.9421380739691445</v>
      </c>
      <c r="E29">
        <f t="shared" si="7"/>
        <v>0.15</v>
      </c>
      <c r="F29">
        <f t="shared" si="8"/>
        <v>0.17</v>
      </c>
      <c r="G29">
        <f>ROUND(bsm($B$1,$H29,$H21,$B$3,$D$3,$D$1,"call"), 2)</f>
        <v>0.16</v>
      </c>
      <c r="H29">
        <v>115</v>
      </c>
      <c r="I29">
        <f>ROUND(bsm($B$1,$H29,$H21,$B$3,$D$3,$D$1,"put"), 2)</f>
        <v>14.97</v>
      </c>
      <c r="J29">
        <f t="shared" si="9"/>
        <v>14.96</v>
      </c>
      <c r="K29">
        <f t="shared" si="10"/>
        <v>14.98</v>
      </c>
      <c r="L29" s="18">
        <f>bsm_delta($B$1,$H29,$H21,$B$3,$D$3,$D$1,"put")*100</f>
        <v>-95.057861926030853</v>
      </c>
      <c r="M29" s="20">
        <f>bsm_gamma($B$1,$H29,$H21,$B$3,$D$3,$D$1)*100</f>
        <v>1.2514720899831471</v>
      </c>
      <c r="N29" s="18">
        <f>bsm_theta($B$1,$H29,$H21,$B$3,$D$3,$D$1,"put")/365</f>
        <v>-3.8428699761527737E-3</v>
      </c>
      <c r="O29" s="20">
        <f>bsm_vega($B$1,$H29,$H21,$B$3,$D$3,$D$1)/100</f>
        <v>4.1715736332771571E-2</v>
      </c>
      <c r="P29">
        <f t="shared" si="11"/>
        <v>15.13</v>
      </c>
      <c r="Q29">
        <f t="shared" si="12"/>
        <v>15.110000000000001</v>
      </c>
      <c r="R29">
        <f t="shared" si="13"/>
        <v>15.15</v>
      </c>
      <c r="U29" s="22"/>
      <c r="V29" s="22"/>
      <c r="W29" s="22"/>
      <c r="X29" s="22"/>
    </row>
    <row r="30" spans="1:26" x14ac:dyDescent="0.25">
      <c r="A30" s="18">
        <f>bsm_vega($B$1,$H30,$H21,$B$3,$D$3,$D$1)/100</f>
        <v>1.5405381915133158E-2</v>
      </c>
      <c r="B30" s="18">
        <f>bsm_theta($B$1,$H30,$H21,$B$3,$D$3,$D$1,"call")/365</f>
        <v>-2.5721632347369037E-3</v>
      </c>
      <c r="C30" s="18">
        <f>bsm_gamma($B$1,$H30,$H21,$B$3,$D$3,$D$1)*100</f>
        <v>0.46216145745399473</v>
      </c>
      <c r="D30" s="18">
        <f>bsm_delta($B$1,$H30,$H21,$B$3,$D$3,$D$1,"call")*100</f>
        <v>1.4937765358602604</v>
      </c>
      <c r="E30">
        <f t="shared" si="7"/>
        <v>0.03</v>
      </c>
      <c r="F30">
        <f t="shared" si="8"/>
        <v>0.05</v>
      </c>
      <c r="G30">
        <f>ROUND(bsm($B$1,$H30,$H21,$B$3,$D$3,$D$1,"call"), 2)</f>
        <v>0.04</v>
      </c>
      <c r="H30">
        <v>120</v>
      </c>
      <c r="I30">
        <f>ROUND(bsm($B$1,$H30,$H21,$B$3,$D$3,$D$1,"put"), 2)</f>
        <v>19.84</v>
      </c>
      <c r="J30">
        <f t="shared" si="9"/>
        <v>19.829999999999998</v>
      </c>
      <c r="K30">
        <f t="shared" si="10"/>
        <v>19.850000000000001</v>
      </c>
      <c r="L30" s="18">
        <f>bsm_delta($B$1,$H30,$H21,$B$3,$D$3,$D$1,"put")*100</f>
        <v>-98.506223464139737</v>
      </c>
      <c r="M30" s="20">
        <f>bsm_gamma($B$1,$H30,$H21,$B$3,$D$3,$D$1)*100</f>
        <v>0.46216145745399473</v>
      </c>
      <c r="N30" s="18">
        <f>bsm_theta($B$1,$H30,$H21,$B$3,$D$3,$D$1,"put")/365</f>
        <v>7.1003310975933302E-4</v>
      </c>
      <c r="O30" s="20">
        <f>bsm_vega($B$1,$H30,$H21,$B$3,$D$3,$D$1)/100</f>
        <v>1.5405381915133158E-2</v>
      </c>
      <c r="P30">
        <f t="shared" si="11"/>
        <v>19.88</v>
      </c>
      <c r="Q30">
        <f t="shared" si="12"/>
        <v>19.86</v>
      </c>
      <c r="R30">
        <f t="shared" si="13"/>
        <v>19.900000000000002</v>
      </c>
      <c r="T30" t="s">
        <v>69</v>
      </c>
      <c r="U30" s="22"/>
      <c r="V30" s="22"/>
      <c r="W30" s="22"/>
      <c r="X30" s="22"/>
    </row>
    <row r="31" spans="1:26" x14ac:dyDescent="0.25">
      <c r="U31" t="s">
        <v>70</v>
      </c>
      <c r="V31" t="s">
        <v>71</v>
      </c>
    </row>
    <row r="32" spans="1:26" x14ac:dyDescent="0.25">
      <c r="U32" s="22">
        <f>X28/((H12-H11)^2)</f>
        <v>0.1588</v>
      </c>
      <c r="V32" s="22">
        <f>U32*(H12-H11)</f>
        <v>0.79400000000000004</v>
      </c>
    </row>
    <row r="33" spans="1:28" x14ac:dyDescent="0.25">
      <c r="U33" s="22" t="s">
        <v>72</v>
      </c>
      <c r="V33" s="22"/>
    </row>
    <row r="34" spans="1:28" x14ac:dyDescent="0.25">
      <c r="A34" s="30" t="s">
        <v>20</v>
      </c>
      <c r="B34" s="30"/>
      <c r="C34" s="30"/>
      <c r="D34" s="30"/>
      <c r="E34" s="30"/>
      <c r="F34" s="30"/>
      <c r="G34" s="30"/>
      <c r="H34" s="17" t="s">
        <v>15</v>
      </c>
      <c r="I34" s="30" t="s">
        <v>21</v>
      </c>
      <c r="J34" s="30"/>
      <c r="K34" s="30"/>
      <c r="L34" s="30"/>
      <c r="M34" s="30"/>
      <c r="N34" s="30"/>
      <c r="O34" s="30"/>
      <c r="P34" s="30" t="s">
        <v>30</v>
      </c>
      <c r="Q34" s="30"/>
      <c r="R34" s="30"/>
    </row>
    <row r="35" spans="1:28" x14ac:dyDescent="0.25">
      <c r="A35" s="16" t="s">
        <v>25</v>
      </c>
      <c r="B35" s="16" t="s">
        <v>26</v>
      </c>
      <c r="C35" s="16" t="s">
        <v>24</v>
      </c>
      <c r="D35" s="16" t="s">
        <v>23</v>
      </c>
      <c r="E35" s="16" t="s">
        <v>28</v>
      </c>
      <c r="F35" s="16" t="s">
        <v>29</v>
      </c>
      <c r="G35" s="16" t="s">
        <v>22</v>
      </c>
      <c r="H35" s="16">
        <f>3/12</f>
        <v>0.25</v>
      </c>
      <c r="I35" s="16" t="s">
        <v>22</v>
      </c>
      <c r="J35" s="16" t="s">
        <v>28</v>
      </c>
      <c r="K35" s="16" t="s">
        <v>29</v>
      </c>
      <c r="L35" s="16" t="s">
        <v>23</v>
      </c>
      <c r="M35" s="16" t="s">
        <v>24</v>
      </c>
      <c r="N35" s="16" t="s">
        <v>26</v>
      </c>
      <c r="O35" s="16" t="s">
        <v>25</v>
      </c>
      <c r="P35" s="16" t="s">
        <v>22</v>
      </c>
      <c r="Q35" s="16" t="s">
        <v>28</v>
      </c>
      <c r="R35" s="16" t="s">
        <v>29</v>
      </c>
      <c r="T35" t="s">
        <v>62</v>
      </c>
    </row>
    <row r="36" spans="1:28" x14ac:dyDescent="0.25">
      <c r="A36" s="18">
        <f>bsm_vega($B$1,$H36,$H35,$B$3,$D$3,$D$1)/100</f>
        <v>1.3955129922878761E-2</v>
      </c>
      <c r="B36" s="18">
        <f>bsm_theta($B$1,$H36,$H35,$B$3,$D$3,$D$1,"call")/365</f>
        <v>-3.6857359065061413E-3</v>
      </c>
      <c r="C36" s="18">
        <f>bsm_gamma($B$1,$H36,$H35,$B$3,$D$3,$D$1)*100</f>
        <v>0.27910259845757518</v>
      </c>
      <c r="D36" s="18">
        <f>bsm_delta($B$1,$H36,$H35,$B$3,$D$3,$D$1,"call")*100</f>
        <v>98.945684522369163</v>
      </c>
      <c r="E36">
        <f>MAX(G36-0.01,0)</f>
        <v>20.229999999999997</v>
      </c>
      <c r="F36">
        <f>G36+0.01</f>
        <v>20.25</v>
      </c>
      <c r="G36">
        <f>ROUND(bsm($B$1,$H36,$H35,$B$3,$D$3,$D$1,"call"), 2)</f>
        <v>20.239999999999998</v>
      </c>
      <c r="H36">
        <v>80</v>
      </c>
      <c r="I36">
        <f>ROUND(bsm($B$1,$H36,$H35,$B$3,$D$3,$D$1,"put"), 2)</f>
        <v>0.04</v>
      </c>
      <c r="J36">
        <f>MAX(I36-0.01,0)</f>
        <v>0.03</v>
      </c>
      <c r="K36">
        <f>I36+0.01</f>
        <v>0.05</v>
      </c>
      <c r="L36" s="18">
        <f>bsm_delta($B$1,$H36,$H35,$B$3,$D$3,$D$1,"put")*100</f>
        <v>-1.0543154776308397</v>
      </c>
      <c r="M36" s="20">
        <f>bsm_gamma($B$1,$H36,$H35,$B$3,$D$3,$D$1)*100</f>
        <v>0.27910259845757518</v>
      </c>
      <c r="N36" s="18">
        <f>bsm_theta($B$1,$H36,$H35,$B$3,$D$3,$D$1,"put")/365</f>
        <v>-1.4994276930322562E-3</v>
      </c>
      <c r="O36" s="20">
        <f>bsm_vega($B$1,$H36,$H35,$B$3,$D$3,$D$1)/100</f>
        <v>1.3955129922878761E-2</v>
      </c>
      <c r="P36">
        <f>G36+I36</f>
        <v>20.279999999999998</v>
      </c>
      <c r="Q36">
        <f>E36+J36</f>
        <v>20.259999999999998</v>
      </c>
      <c r="R36">
        <f>F36+K36</f>
        <v>20.3</v>
      </c>
      <c r="U36" s="22" t="s">
        <v>43</v>
      </c>
      <c r="V36" s="22" t="s">
        <v>45</v>
      </c>
      <c r="W36" s="22" t="s">
        <v>60</v>
      </c>
      <c r="X36" s="22" t="s">
        <v>63</v>
      </c>
      <c r="Y36" s="22" t="s">
        <v>64</v>
      </c>
    </row>
    <row r="37" spans="1:28" x14ac:dyDescent="0.25">
      <c r="A37" s="18">
        <f>bsm_vega($B$1,$H37,$H35,$B$3,$D$3,$D$1)/100</f>
        <v>4.7009407715480754E-2</v>
      </c>
      <c r="B37" s="18">
        <f>bsm_theta($B$1,$H37,$H35,$B$3,$D$3,$D$1,"call")/365</f>
        <v>-7.3474210075428073E-3</v>
      </c>
      <c r="C37" s="18">
        <f>bsm_gamma($B$1,$H37,$H35,$B$3,$D$3,$D$1)*100</f>
        <v>0.940188154309615</v>
      </c>
      <c r="D37" s="18">
        <f>bsm_delta($B$1,$H37,$H35,$B$3,$D$3,$D$1,"call")*100</f>
        <v>95.54523373951487</v>
      </c>
      <c r="E37">
        <f t="shared" ref="E37:E44" si="14">MAX(G37-0.01,0)</f>
        <v>15.39</v>
      </c>
      <c r="F37">
        <f t="shared" ref="F37:F44" si="15">G37+0.01</f>
        <v>15.41</v>
      </c>
      <c r="G37">
        <f>ROUND(bsm($B$1,$H37,$H35,$B$3,$D$3,$D$1,"call"), 2)</f>
        <v>15.4</v>
      </c>
      <c r="H37">
        <v>85</v>
      </c>
      <c r="I37">
        <f>ROUND(bsm($B$1,$H37,$H35,$B$3,$D$3,$D$1,"put"), 2)</f>
        <v>0.19</v>
      </c>
      <c r="J37">
        <f t="shared" ref="J37:J44" si="16">MAX(I37-0.01,0)</f>
        <v>0.18</v>
      </c>
      <c r="K37">
        <f t="shared" ref="K37:K44" si="17">I37+0.01</f>
        <v>0.2</v>
      </c>
      <c r="L37" s="18">
        <f>bsm_delta($B$1,$H37,$H35,$B$3,$D$3,$D$1,"put")*100</f>
        <v>-4.4547662604851306</v>
      </c>
      <c r="M37" s="20">
        <f>bsm_gamma($B$1,$H37,$H35,$B$3,$D$3,$D$1)*100</f>
        <v>0.940188154309615</v>
      </c>
      <c r="N37" s="18">
        <f>bsm_theta($B$1,$H37,$H35,$B$3,$D$3,$D$1,"put")/365</f>
        <v>-5.0244685307268035E-3</v>
      </c>
      <c r="O37" s="20">
        <f>bsm_vega($B$1,$H37,$H35,$B$3,$D$3,$D$1)/100</f>
        <v>4.7009407715480754E-2</v>
      </c>
      <c r="P37">
        <f t="shared" ref="P37:P44" si="18">G37+I37</f>
        <v>15.59</v>
      </c>
      <c r="Q37">
        <f t="shared" ref="Q37:Q44" si="19">E37+J37</f>
        <v>15.57</v>
      </c>
      <c r="R37">
        <f t="shared" ref="R37:R44" si="20">F37+K37</f>
        <v>15.61</v>
      </c>
      <c r="U37" s="22">
        <f>I10</f>
        <v>7.0000000000000007E-2</v>
      </c>
      <c r="V37" s="22">
        <f>I11</f>
        <v>0.56000000000000005</v>
      </c>
      <c r="W37" s="22">
        <f>G13</f>
        <v>0.67</v>
      </c>
      <c r="X37" s="22">
        <f>G14</f>
        <v>0.13</v>
      </c>
      <c r="Y37" s="22">
        <f>V37+W37-U37-X37</f>
        <v>1.0299999999999998</v>
      </c>
    </row>
    <row r="38" spans="1:28" x14ac:dyDescent="0.25">
      <c r="A38" s="18">
        <f>bsm_vega($B$1,$H38,$H35,$B$3,$D$3,$D$1)/100</f>
        <v>0.10550884259709901</v>
      </c>
      <c r="B38" s="18">
        <f>bsm_theta($B$1,$H38,$H35,$B$3,$D$3,$D$1,"call")/365</f>
        <v>-1.3648762593283697E-2</v>
      </c>
      <c r="C38" s="18">
        <f>bsm_gamma($B$1,$H38,$H35,$B$3,$D$3,$D$1)*100</f>
        <v>2.1101768519419797</v>
      </c>
      <c r="D38" s="18">
        <f>bsm_delta($B$1,$H38,$H35,$B$3,$D$3,$D$1,"call")*100</f>
        <v>87.046778278013221</v>
      </c>
      <c r="E38">
        <f t="shared" si="14"/>
        <v>10.89</v>
      </c>
      <c r="F38">
        <f t="shared" si="15"/>
        <v>10.91</v>
      </c>
      <c r="G38">
        <f>ROUND(bsm($B$1,$H38,$H35,$B$3,$D$3,$D$1,"call"), 2)</f>
        <v>10.9</v>
      </c>
      <c r="H38">
        <v>90</v>
      </c>
      <c r="I38">
        <f>ROUND(bsm($B$1,$H38,$H35,$B$3,$D$3,$D$1,"put"), 2)</f>
        <v>0.68</v>
      </c>
      <c r="J38">
        <f t="shared" si="16"/>
        <v>0.67</v>
      </c>
      <c r="K38">
        <f t="shared" si="17"/>
        <v>0.69000000000000006</v>
      </c>
      <c r="L38" s="18">
        <f>bsm_delta($B$1,$H38,$H35,$B$3,$D$3,$D$1,"put")*100</f>
        <v>-12.953221721986786</v>
      </c>
      <c r="M38" s="20">
        <f>bsm_gamma($B$1,$H38,$H35,$B$3,$D$3,$D$1)*100</f>
        <v>2.1101768519419797</v>
      </c>
      <c r="N38" s="18">
        <f>bsm_theta($B$1,$H38,$H35,$B$3,$D$3,$D$1,"put")/365</f>
        <v>-1.1189165853125575E-2</v>
      </c>
      <c r="O38" s="20">
        <f>bsm_vega($B$1,$H38,$H35,$B$3,$D$3,$D$1)/100</f>
        <v>0.10550884259709901</v>
      </c>
      <c r="P38">
        <f t="shared" si="18"/>
        <v>11.58</v>
      </c>
      <c r="Q38">
        <f t="shared" si="19"/>
        <v>11.56</v>
      </c>
      <c r="R38">
        <f t="shared" si="20"/>
        <v>11.6</v>
      </c>
    </row>
    <row r="39" spans="1:28" x14ac:dyDescent="0.25">
      <c r="A39" s="18">
        <f>bsm_vega($B$1,$H39,$H35,$B$3,$D$3,$D$1)/100</f>
        <v>0.16781077275967887</v>
      </c>
      <c r="B39" s="18">
        <f>bsm_theta($B$1,$H39,$H35,$B$3,$D$3,$D$1,"call")/365</f>
        <v>-2.0174361944391525E-2</v>
      </c>
      <c r="C39" s="18">
        <f>bsm_gamma($B$1,$H39,$H35,$B$3,$D$3,$D$1)*100</f>
        <v>3.3562154551935772</v>
      </c>
      <c r="D39" s="18">
        <f>bsm_delta($B$1,$H39,$H35,$B$3,$D$3,$D$1,"call")*100</f>
        <v>72.171134855120741</v>
      </c>
      <c r="E39">
        <f t="shared" si="14"/>
        <v>7.04</v>
      </c>
      <c r="F39">
        <f t="shared" si="15"/>
        <v>7.06</v>
      </c>
      <c r="G39">
        <f>ROUND(bsm($B$1,$H39,$H35,$B$3,$D$3,$D$1,"call"), 2)</f>
        <v>7.05</v>
      </c>
      <c r="H39">
        <v>95</v>
      </c>
      <c r="I39">
        <f>ROUND(bsm($B$1,$H39,$H35,$B$3,$D$3,$D$1,"put"), 2)</f>
        <v>1.81</v>
      </c>
      <c r="J39">
        <f t="shared" si="16"/>
        <v>1.8</v>
      </c>
      <c r="K39">
        <f t="shared" si="17"/>
        <v>1.82</v>
      </c>
      <c r="L39" s="18">
        <f>bsm_delta($B$1,$H39,$H35,$B$3,$D$3,$D$1,"put")*100</f>
        <v>-27.828865144879249</v>
      </c>
      <c r="M39" s="20">
        <f>bsm_gamma($B$1,$H39,$H35,$B$3,$D$3,$D$1)*100</f>
        <v>3.3562154551935772</v>
      </c>
      <c r="N39" s="18">
        <f>bsm_theta($B$1,$H39,$H35,$B$3,$D$3,$D$1,"put")/365</f>
        <v>-1.7578120940891284E-2</v>
      </c>
      <c r="O39" s="20">
        <f>bsm_vega($B$1,$H39,$H35,$B$3,$D$3,$D$1)/100</f>
        <v>0.16781077275967887</v>
      </c>
      <c r="P39">
        <f t="shared" si="18"/>
        <v>8.86</v>
      </c>
      <c r="Q39">
        <f t="shared" si="19"/>
        <v>8.84</v>
      </c>
      <c r="R39">
        <f t="shared" si="20"/>
        <v>8.879999999999999</v>
      </c>
      <c r="T39" t="s">
        <v>68</v>
      </c>
    </row>
    <row r="40" spans="1:28" x14ac:dyDescent="0.25">
      <c r="A40" s="19">
        <f>bsm_vega($B$1,$H40,$H35,$B$3,$D$3,$D$1)/100</f>
        <v>0.19891091580374859</v>
      </c>
      <c r="B40" s="19">
        <f>bsm_theta($B$1,$H40,$H35,$B$3,$D$3,$D$1,"call")/365</f>
        <v>-2.3137645411810299E-2</v>
      </c>
      <c r="C40" s="19">
        <f>bsm_gamma($B$1,$H40,$H35,$B$3,$D$3,$D$1)*100</f>
        <v>3.9782183160749716</v>
      </c>
      <c r="D40" s="19">
        <f>bsm_delta($B$1,$H40,$H35,$B$3,$D$3,$D$1,"call")*100</f>
        <v>52.989264405289482</v>
      </c>
      <c r="E40" s="15">
        <f t="shared" si="14"/>
        <v>4.1000000000000005</v>
      </c>
      <c r="F40" s="15">
        <f t="shared" si="15"/>
        <v>4.12</v>
      </c>
      <c r="G40" s="15">
        <f>ROUND(bsm($B$1,$H40,$H35,$B$3,$D$3,$D$1,"call"), 2)</f>
        <v>4.1100000000000003</v>
      </c>
      <c r="H40" s="15">
        <v>100</v>
      </c>
      <c r="I40" s="15">
        <f>ROUND(bsm($B$1,$H40,$H35,$B$3,$D$3,$D$1,"put"), 2)</f>
        <v>3.86</v>
      </c>
      <c r="J40" s="15">
        <f t="shared" si="16"/>
        <v>3.85</v>
      </c>
      <c r="K40" s="15">
        <f t="shared" si="17"/>
        <v>3.8699999999999997</v>
      </c>
      <c r="L40" s="19">
        <f>bsm_delta($B$1,$H40,$H35,$B$3,$D$3,$D$1,"put")*100</f>
        <v>-47.010735594710525</v>
      </c>
      <c r="M40" s="21">
        <f>bsm_gamma($B$1,$H40,$H35,$B$3,$D$3,$D$1)*100</f>
        <v>3.9782183160749716</v>
      </c>
      <c r="N40" s="19">
        <f>bsm_theta($B$1,$H40,$H35,$B$3,$D$3,$D$1,"put")/365</f>
        <v>-2.0404760144967941E-2</v>
      </c>
      <c r="O40" s="21">
        <f>bsm_vega($B$1,$H40,$H35,$B$3,$D$3,$D$1)/100</f>
        <v>0.19891091580374859</v>
      </c>
      <c r="P40" s="15">
        <f t="shared" si="18"/>
        <v>7.9700000000000006</v>
      </c>
      <c r="Q40" s="15">
        <f t="shared" si="19"/>
        <v>7.9500000000000011</v>
      </c>
      <c r="R40" s="15">
        <f t="shared" si="20"/>
        <v>7.99</v>
      </c>
      <c r="U40" s="22" t="s">
        <v>42</v>
      </c>
      <c r="V40" s="22" t="s">
        <v>44</v>
      </c>
      <c r="W40" s="22" t="s">
        <v>43</v>
      </c>
      <c r="X40" s="22" t="s">
        <v>45</v>
      </c>
      <c r="Y40" s="22" t="s">
        <v>65</v>
      </c>
      <c r="Z40" s="22" t="s">
        <v>47</v>
      </c>
      <c r="AA40" s="22" t="s">
        <v>66</v>
      </c>
      <c r="AB40" s="22" t="s">
        <v>67</v>
      </c>
    </row>
    <row r="41" spans="1:28" x14ac:dyDescent="0.25">
      <c r="A41" s="18">
        <f>bsm_vega($B$1,$H41,$H35,$B$3,$D$3,$D$1)/100</f>
        <v>0.18317201469579619</v>
      </c>
      <c r="B41" s="18">
        <f>bsm_theta($B$1,$H41,$H35,$B$3,$D$3,$D$1,"call")/365</f>
        <v>-2.0946011297933102E-2</v>
      </c>
      <c r="C41" s="18">
        <f>bsm_gamma($B$1,$H41,$H35,$B$3,$D$3,$D$1)*100</f>
        <v>3.6634402939159232</v>
      </c>
      <c r="D41" s="18">
        <f>bsm_delta($B$1,$H41,$H35,$B$3,$D$3,$D$1,"call")*100</f>
        <v>33.98393391150919</v>
      </c>
      <c r="E41">
        <f t="shared" si="14"/>
        <v>2.1300000000000003</v>
      </c>
      <c r="F41">
        <f t="shared" si="15"/>
        <v>2.15</v>
      </c>
      <c r="G41">
        <f>ROUND(bsm($B$1,$H41,$H35,$B$3,$D$3,$D$1,"call"), 2)</f>
        <v>2.14</v>
      </c>
      <c r="H41">
        <v>105</v>
      </c>
      <c r="I41">
        <f>ROUND(bsm($B$1,$H41,$H35,$B$3,$D$3,$D$1,"put"), 2)</f>
        <v>6.88</v>
      </c>
      <c r="J41">
        <f t="shared" si="16"/>
        <v>6.87</v>
      </c>
      <c r="K41">
        <f t="shared" si="17"/>
        <v>6.89</v>
      </c>
      <c r="L41" s="18">
        <f>bsm_delta($B$1,$H41,$H35,$B$3,$D$3,$D$1,"put")*100</f>
        <v>-66.016066088490817</v>
      </c>
      <c r="M41" s="20">
        <f>bsm_gamma($B$1,$H41,$H35,$B$3,$D$3,$D$1)*100</f>
        <v>3.6634402939159232</v>
      </c>
      <c r="N41" s="18">
        <f>bsm_theta($B$1,$H41,$H35,$B$3,$D$3,$D$1,"put")/365</f>
        <v>-1.807648176774863E-2</v>
      </c>
      <c r="O41" s="20">
        <f>bsm_vega($B$1,$H41,$H35,$B$3,$D$3,$D$1)/100</f>
        <v>0.18317201469579619</v>
      </c>
      <c r="P41">
        <f t="shared" si="18"/>
        <v>9.02</v>
      </c>
      <c r="Q41">
        <f t="shared" si="19"/>
        <v>9</v>
      </c>
      <c r="R41">
        <f t="shared" si="20"/>
        <v>9.0399999999999991</v>
      </c>
      <c r="U41" s="22">
        <f>G11</f>
        <v>5.64</v>
      </c>
      <c r="V41" s="22">
        <f>G25</f>
        <v>6.4</v>
      </c>
      <c r="W41" s="22">
        <f>I11</f>
        <v>0.56000000000000005</v>
      </c>
      <c r="X41" s="22">
        <f>I25</f>
        <v>1.24</v>
      </c>
      <c r="Y41" s="23">
        <f>V41-U41</f>
        <v>0.76000000000000068</v>
      </c>
      <c r="Z41" s="22">
        <f>X41-W41</f>
        <v>0.67999999999999994</v>
      </c>
      <c r="AA41">
        <f>H25*B3*(H21-H7)</f>
        <v>7.9166666666666663E-2</v>
      </c>
      <c r="AB41" s="29">
        <f>Z41+AA41</f>
        <v>0.75916666666666655</v>
      </c>
    </row>
    <row r="42" spans="1:28" x14ac:dyDescent="0.25">
      <c r="A42" s="18">
        <f>bsm_vega($B$1,$H42,$H35,$B$3,$D$3,$D$1)/100</f>
        <v>0.13565815854143601</v>
      </c>
      <c r="B42" s="18">
        <f>bsm_theta($B$1,$H42,$H35,$B$3,$D$3,$D$1,"call")/365</f>
        <v>-1.5359696055537098E-2</v>
      </c>
      <c r="C42" s="18">
        <f>bsm_gamma($B$1,$H42,$H35,$B$3,$D$3,$D$1)*100</f>
        <v>2.7131631708287203</v>
      </c>
      <c r="D42" s="18">
        <f>bsm_delta($B$1,$H42,$H35,$B$3,$D$3,$D$1,"call")*100</f>
        <v>18.994423865446091</v>
      </c>
      <c r="E42">
        <f t="shared" si="14"/>
        <v>0.99</v>
      </c>
      <c r="F42">
        <f t="shared" si="15"/>
        <v>1.01</v>
      </c>
      <c r="G42">
        <f>ROUND(bsm($B$1,$H42,$H35,$B$3,$D$3,$D$1,"call"), 2)</f>
        <v>1</v>
      </c>
      <c r="H42">
        <v>110</v>
      </c>
      <c r="I42">
        <f>ROUND(bsm($B$1,$H42,$H35,$B$3,$D$3,$D$1,"put"), 2)</f>
        <v>10.72</v>
      </c>
      <c r="J42">
        <f t="shared" si="16"/>
        <v>10.71</v>
      </c>
      <c r="K42">
        <f t="shared" si="17"/>
        <v>10.73</v>
      </c>
      <c r="L42" s="18">
        <f>bsm_delta($B$1,$H42,$H35,$B$3,$D$3,$D$1,"put")*100</f>
        <v>-81.005576134553905</v>
      </c>
      <c r="M42" s="20">
        <f>bsm_gamma($B$1,$H42,$H35,$B$3,$D$3,$D$1)*100</f>
        <v>2.7131631708287203</v>
      </c>
      <c r="N42" s="18">
        <f>bsm_theta($B$1,$H42,$H35,$B$3,$D$3,$D$1,"put")/365</f>
        <v>-1.2353522262010506E-2</v>
      </c>
      <c r="O42" s="20">
        <f>bsm_vega($B$1,$H42,$H35,$B$3,$D$3,$D$1)/100</f>
        <v>0.13565815854143601</v>
      </c>
      <c r="P42">
        <f t="shared" si="18"/>
        <v>11.72</v>
      </c>
      <c r="Q42">
        <f t="shared" si="19"/>
        <v>11.700000000000001</v>
      </c>
      <c r="R42">
        <f t="shared" si="20"/>
        <v>11.74</v>
      </c>
    </row>
    <row r="43" spans="1:28" x14ac:dyDescent="0.25">
      <c r="A43" s="18">
        <f>bsm_vega($B$1,$H43,$H35,$B$3,$D$3,$D$1)/100</f>
        <v>8.3180129832458025E-2</v>
      </c>
      <c r="B43" s="18">
        <f>bsm_theta($B$1,$H43,$H35,$B$3,$D$3,$D$1,"call")/365</f>
        <v>-9.3589578706285582E-3</v>
      </c>
      <c r="C43" s="18">
        <f>bsm_gamma($B$1,$H43,$H35,$B$3,$D$3,$D$1)*100</f>
        <v>1.6636025966491603</v>
      </c>
      <c r="D43" s="18">
        <f>bsm_delta($B$1,$H43,$H35,$B$3,$D$3,$D$1,"call")*100</f>
        <v>9.298098574581287</v>
      </c>
      <c r="E43">
        <f t="shared" si="14"/>
        <v>0.41</v>
      </c>
      <c r="F43">
        <f t="shared" si="15"/>
        <v>0.43</v>
      </c>
      <c r="G43">
        <f>ROUND(bsm($B$1,$H43,$H35,$B$3,$D$3,$D$1,"call"), 2)</f>
        <v>0.42</v>
      </c>
      <c r="H43">
        <v>115</v>
      </c>
      <c r="I43">
        <f>ROUND(bsm($B$1,$H43,$H35,$B$3,$D$3,$D$1,"put"), 2)</f>
        <v>15.13</v>
      </c>
      <c r="J43">
        <f t="shared" si="16"/>
        <v>15.120000000000001</v>
      </c>
      <c r="K43">
        <f t="shared" si="17"/>
        <v>15.14</v>
      </c>
      <c r="L43" s="18">
        <f>bsm_delta($B$1,$H43,$H35,$B$3,$D$3,$D$1,"put")*100</f>
        <v>-90.701901425418725</v>
      </c>
      <c r="M43" s="20">
        <f>bsm_gamma($B$1,$H43,$H35,$B$3,$D$3,$D$1)*100</f>
        <v>1.6636025966491603</v>
      </c>
      <c r="N43" s="18">
        <f>bsm_theta($B$1,$H43,$H35,$B$3,$D$3,$D$1,"put")/365</f>
        <v>-6.2161398137598484E-3</v>
      </c>
      <c r="O43" s="20">
        <f>bsm_vega($B$1,$H43,$H35,$B$3,$D$3,$D$1)/100</f>
        <v>8.3180129832458025E-2</v>
      </c>
      <c r="P43">
        <f t="shared" si="18"/>
        <v>15.55</v>
      </c>
      <c r="Q43">
        <f t="shared" si="19"/>
        <v>15.530000000000001</v>
      </c>
      <c r="R43">
        <f t="shared" si="20"/>
        <v>15.57</v>
      </c>
    </row>
    <row r="44" spans="1:28" x14ac:dyDescent="0.25">
      <c r="A44" s="18">
        <f>bsm_vega($B$1,$H44,$H35,$B$3,$D$3,$D$1)/100</f>
        <v>4.3273512584279875E-2</v>
      </c>
      <c r="B44" s="18">
        <f>bsm_theta($B$1,$H44,$H35,$B$3,$D$3,$D$1,"call")/365</f>
        <v>-4.8481820989183478E-3</v>
      </c>
      <c r="C44" s="18">
        <f>bsm_gamma($B$1,$H44,$H35,$B$3,$D$3,$D$1)*100</f>
        <v>0.86547025168559744</v>
      </c>
      <c r="D44" s="18">
        <f>bsm_delta($B$1,$H44,$H35,$B$3,$D$3,$D$1,"call")*100</f>
        <v>4.0213353429681442</v>
      </c>
      <c r="E44">
        <f t="shared" si="14"/>
        <v>0.15</v>
      </c>
      <c r="F44">
        <f t="shared" si="15"/>
        <v>0.17</v>
      </c>
      <c r="G44">
        <f>ROUND(bsm($B$1,$H44,$H35,$B$3,$D$3,$D$1,"call"), 2)</f>
        <v>0.16</v>
      </c>
      <c r="H44">
        <v>120</v>
      </c>
      <c r="I44">
        <f>ROUND(bsm($B$1,$H44,$H35,$B$3,$D$3,$D$1,"put"), 2)</f>
        <v>19.86</v>
      </c>
      <c r="J44">
        <f t="shared" si="16"/>
        <v>19.849999999999998</v>
      </c>
      <c r="K44">
        <f t="shared" si="17"/>
        <v>19.87</v>
      </c>
      <c r="L44" s="18">
        <f>bsm_delta($B$1,$H44,$H35,$B$3,$D$3,$D$1,"put")*100</f>
        <v>-95.978664657031857</v>
      </c>
      <c r="M44" s="20">
        <f>bsm_gamma($B$1,$H44,$H35,$B$3,$D$3,$D$1)*100</f>
        <v>0.86547025168559744</v>
      </c>
      <c r="N44" s="18">
        <f>bsm_theta($B$1,$H44,$H35,$B$3,$D$3,$D$1,"put")/365</f>
        <v>-1.5687197787075202E-3</v>
      </c>
      <c r="O44" s="20">
        <f>bsm_vega($B$1,$H44,$H35,$B$3,$D$3,$D$1)/100</f>
        <v>4.3273512584279875E-2</v>
      </c>
      <c r="P44">
        <f t="shared" si="18"/>
        <v>20.02</v>
      </c>
      <c r="Q44">
        <f t="shared" si="19"/>
        <v>19.999999999999996</v>
      </c>
      <c r="R44">
        <f t="shared" si="20"/>
        <v>20.040000000000003</v>
      </c>
    </row>
  </sheetData>
  <mergeCells count="9">
    <mergeCell ref="A20:G20"/>
    <mergeCell ref="I20:O20"/>
    <mergeCell ref="A34:G34"/>
    <mergeCell ref="I34:O34"/>
    <mergeCell ref="P6:R6"/>
    <mergeCell ref="P20:R20"/>
    <mergeCell ref="P34:R34"/>
    <mergeCell ref="A6:G6"/>
    <mergeCell ref="I6:O6"/>
  </mergeCells>
  <pageMargins left="0.75" right="0.75" top="1" bottom="1" header="0.5" footer="0.5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9" sqref="E9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9</v>
      </c>
    </row>
    <row r="4" spans="1:2" x14ac:dyDescent="0.25">
      <c r="A4" s="1" t="s">
        <v>10</v>
      </c>
    </row>
    <row r="5" spans="1:2" x14ac:dyDescent="0.25">
      <c r="A5" s="1" t="s">
        <v>2</v>
      </c>
      <c r="B5" s="1" t="s">
        <v>27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</row>
    <row r="8" spans="1:2" x14ac:dyDescent="0.25">
      <c r="A8" s="1" t="s">
        <v>5</v>
      </c>
      <c r="B8" s="1" t="b">
        <v>0</v>
      </c>
    </row>
    <row r="13" spans="1:2" x14ac:dyDescent="0.25">
      <c r="A13" s="2" t="s">
        <v>7</v>
      </c>
    </row>
    <row r="14" spans="1:2" x14ac:dyDescent="0.25">
      <c r="A14" s="1" t="s">
        <v>11</v>
      </c>
    </row>
    <row r="15" spans="1:2" x14ac:dyDescent="0.25">
      <c r="A15" s="1" t="s">
        <v>12</v>
      </c>
    </row>
    <row r="16" spans="1:2" x14ac:dyDescent="0.25">
      <c r="A16" s="1" t="s">
        <v>8</v>
      </c>
    </row>
    <row r="17" spans="1:1" x14ac:dyDescent="0.2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Strategy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Letian</cp:lastModifiedBy>
  <dcterms:created xsi:type="dcterms:W3CDTF">2015-01-25T11:31:25Z</dcterms:created>
  <dcterms:modified xsi:type="dcterms:W3CDTF">2020-06-14T01:10:36Z</dcterms:modified>
</cp:coreProperties>
</file>