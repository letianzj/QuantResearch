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Workspace\QuantResearch\workbooks\"/>
    </mc:Choice>
  </mc:AlternateContent>
  <xr:revisionPtr revIDLastSave="0" documentId="13_ncr:1_{586E3AB8-A1ED-4458-A01E-0D0642E47DC3}" xr6:coauthVersionLast="46" xr6:coauthVersionMax="46" xr10:uidLastSave="{00000000-0000-0000-0000-000000000000}"/>
  <bookViews>
    <workbookView xWindow="3075" yWindow="1125" windowWidth="11325" windowHeight="14580" tabRatio="500" xr2:uid="{00000000-000D-0000-FFFF-FFFF00000000}"/>
  </bookViews>
  <sheets>
    <sheet name="Strategy" sheetId="1" r:id="rId1"/>
    <sheet name="_xlwings.conf" sheetId="2" r:id="rId2"/>
  </sheets>
  <functionGroups builtInGroupCount="19">
    <functionGroup name="xlwings"/>
  </functionGroups>
  <calcPr calcId="181029" concurrentCalc="0"/>
  <extLst>
    <ext xmlns:x14="http://schemas.microsoft.com/office/spreadsheetml/2009/9/main" uri="{8193D73E-4604-4355-AFF4-8A2333D13BE4}">
      <x14:definedNames>
        <x14:definedName name="black76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del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rho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the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vann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ol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8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m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del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gamm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rho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the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vann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e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ol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J15" i="1" l="1"/>
  <c r="AG11" i="1"/>
  <c r="AF11" i="1"/>
  <c r="AD11" i="1"/>
  <c r="AI4" i="1"/>
  <c r="AJ4" i="1"/>
  <c r="AH5" i="1"/>
  <c r="AJ6" i="1"/>
  <c r="AH6" i="1"/>
  <c r="AH4" i="1"/>
  <c r="AH3" i="1"/>
  <c r="H13" i="1"/>
  <c r="J13" i="1"/>
  <c r="AH20" i="1"/>
  <c r="H25" i="1"/>
  <c r="J25" i="1"/>
  <c r="AH21" i="1"/>
  <c r="AI21" i="1"/>
  <c r="H11" i="1"/>
  <c r="AH14" i="1"/>
  <c r="J11" i="1"/>
  <c r="AH15" i="1"/>
  <c r="AI15" i="1"/>
  <c r="AD10" i="1"/>
  <c r="AI5" i="1"/>
  <c r="AI6" i="1"/>
  <c r="AJ5" i="1"/>
  <c r="T28" i="1"/>
  <c r="T40" i="1"/>
  <c r="I30" i="1"/>
  <c r="H40" i="1"/>
  <c r="G40" i="1"/>
  <c r="J40" i="1"/>
  <c r="L40" i="1"/>
  <c r="S40" i="1"/>
  <c r="F40" i="1"/>
  <c r="K40" i="1"/>
  <c r="R40" i="1"/>
  <c r="Q40" i="1"/>
  <c r="P40" i="1"/>
  <c r="O40" i="1"/>
  <c r="N40" i="1"/>
  <c r="M40" i="1"/>
  <c r="E40" i="1"/>
  <c r="C40" i="1"/>
  <c r="B40" i="1"/>
  <c r="A40" i="1"/>
  <c r="T27" i="1"/>
  <c r="T39" i="1"/>
  <c r="H39" i="1"/>
  <c r="G39" i="1"/>
  <c r="J39" i="1"/>
  <c r="L39" i="1"/>
  <c r="S39" i="1"/>
  <c r="F39" i="1"/>
  <c r="K39" i="1"/>
  <c r="R39" i="1"/>
  <c r="Q39" i="1"/>
  <c r="P39" i="1"/>
  <c r="O39" i="1"/>
  <c r="N39" i="1"/>
  <c r="M39" i="1"/>
  <c r="E39" i="1"/>
  <c r="C39" i="1"/>
  <c r="B39" i="1"/>
  <c r="A39" i="1"/>
  <c r="T26" i="1"/>
  <c r="T38" i="1"/>
  <c r="H38" i="1"/>
  <c r="G38" i="1"/>
  <c r="J38" i="1"/>
  <c r="L38" i="1"/>
  <c r="S38" i="1"/>
  <c r="F38" i="1"/>
  <c r="K38" i="1"/>
  <c r="R38" i="1"/>
  <c r="Q38" i="1"/>
  <c r="P38" i="1"/>
  <c r="O38" i="1"/>
  <c r="N38" i="1"/>
  <c r="M38" i="1"/>
  <c r="E38" i="1"/>
  <c r="C38" i="1"/>
  <c r="B38" i="1"/>
  <c r="A38" i="1"/>
  <c r="T25" i="1"/>
  <c r="T37" i="1"/>
  <c r="H37" i="1"/>
  <c r="G37" i="1"/>
  <c r="J37" i="1"/>
  <c r="L37" i="1"/>
  <c r="S37" i="1"/>
  <c r="F37" i="1"/>
  <c r="K37" i="1"/>
  <c r="R37" i="1"/>
  <c r="Q37" i="1"/>
  <c r="P37" i="1"/>
  <c r="O37" i="1"/>
  <c r="N37" i="1"/>
  <c r="M37" i="1"/>
  <c r="E37" i="1"/>
  <c r="C37" i="1"/>
  <c r="B37" i="1"/>
  <c r="A37" i="1"/>
  <c r="T24" i="1"/>
  <c r="T36" i="1"/>
  <c r="H36" i="1"/>
  <c r="G36" i="1"/>
  <c r="J36" i="1"/>
  <c r="L36" i="1"/>
  <c r="S36" i="1"/>
  <c r="F36" i="1"/>
  <c r="K36" i="1"/>
  <c r="R36" i="1"/>
  <c r="Q36" i="1"/>
  <c r="P36" i="1"/>
  <c r="O36" i="1"/>
  <c r="N36" i="1"/>
  <c r="M36" i="1"/>
  <c r="E36" i="1"/>
  <c r="C36" i="1"/>
  <c r="B36" i="1"/>
  <c r="A36" i="1"/>
  <c r="T23" i="1"/>
  <c r="T35" i="1"/>
  <c r="H35" i="1"/>
  <c r="G35" i="1"/>
  <c r="J35" i="1"/>
  <c r="L35" i="1"/>
  <c r="S35" i="1"/>
  <c r="F35" i="1"/>
  <c r="K35" i="1"/>
  <c r="R35" i="1"/>
  <c r="Q35" i="1"/>
  <c r="P35" i="1"/>
  <c r="O35" i="1"/>
  <c r="N35" i="1"/>
  <c r="M35" i="1"/>
  <c r="E35" i="1"/>
  <c r="C35" i="1"/>
  <c r="B35" i="1"/>
  <c r="A35" i="1"/>
  <c r="T22" i="1"/>
  <c r="T34" i="1"/>
  <c r="H34" i="1"/>
  <c r="G34" i="1"/>
  <c r="J34" i="1"/>
  <c r="L34" i="1"/>
  <c r="S34" i="1"/>
  <c r="F34" i="1"/>
  <c r="K34" i="1"/>
  <c r="R34" i="1"/>
  <c r="Q34" i="1"/>
  <c r="P34" i="1"/>
  <c r="O34" i="1"/>
  <c r="N34" i="1"/>
  <c r="M34" i="1"/>
  <c r="E34" i="1"/>
  <c r="C34" i="1"/>
  <c r="B34" i="1"/>
  <c r="A34" i="1"/>
  <c r="T21" i="1"/>
  <c r="T33" i="1"/>
  <c r="H33" i="1"/>
  <c r="G33" i="1"/>
  <c r="J33" i="1"/>
  <c r="L33" i="1"/>
  <c r="S33" i="1"/>
  <c r="F33" i="1"/>
  <c r="K33" i="1"/>
  <c r="R33" i="1"/>
  <c r="Q33" i="1"/>
  <c r="P33" i="1"/>
  <c r="O33" i="1"/>
  <c r="N33" i="1"/>
  <c r="M33" i="1"/>
  <c r="E33" i="1"/>
  <c r="C33" i="1"/>
  <c r="B33" i="1"/>
  <c r="A33" i="1"/>
  <c r="T20" i="1"/>
  <c r="T32" i="1"/>
  <c r="H32" i="1"/>
  <c r="G32" i="1"/>
  <c r="J32" i="1"/>
  <c r="L32" i="1"/>
  <c r="S32" i="1"/>
  <c r="F32" i="1"/>
  <c r="K32" i="1"/>
  <c r="R32" i="1"/>
  <c r="Q32" i="1"/>
  <c r="P32" i="1"/>
  <c r="O32" i="1"/>
  <c r="N32" i="1"/>
  <c r="M32" i="1"/>
  <c r="E32" i="1"/>
  <c r="C32" i="1"/>
  <c r="B32" i="1"/>
  <c r="A32" i="1"/>
  <c r="I18" i="1"/>
  <c r="J28" i="1"/>
  <c r="H28" i="1"/>
  <c r="J27" i="1"/>
  <c r="H27" i="1"/>
  <c r="J26" i="1"/>
  <c r="H26" i="1"/>
  <c r="J24" i="1"/>
  <c r="H24" i="1"/>
  <c r="J23" i="1"/>
  <c r="H23" i="1"/>
  <c r="J22" i="1"/>
  <c r="H22" i="1"/>
  <c r="J21" i="1"/>
  <c r="H21" i="1"/>
  <c r="J20" i="1"/>
  <c r="H20" i="1"/>
  <c r="H6" i="1"/>
  <c r="J16" i="1"/>
  <c r="J15" i="1"/>
  <c r="J14" i="1"/>
  <c r="J12" i="1"/>
  <c r="J10" i="1"/>
  <c r="J9" i="1"/>
  <c r="J8" i="1"/>
  <c r="H16" i="1"/>
  <c r="H15" i="1"/>
  <c r="H14" i="1"/>
  <c r="H12" i="1"/>
  <c r="H10" i="1"/>
  <c r="H9" i="1"/>
  <c r="H8" i="1"/>
  <c r="G8" i="1"/>
  <c r="A9" i="1"/>
  <c r="A8" i="1"/>
  <c r="W27" i="1"/>
  <c r="Y27" i="1"/>
  <c r="X27" i="1"/>
  <c r="Z27" i="1"/>
  <c r="W32" i="1"/>
  <c r="X32" i="1"/>
  <c r="AC41" i="1"/>
  <c r="Z41" i="1"/>
  <c r="Y41" i="1"/>
  <c r="AB41" i="1"/>
  <c r="AD41" i="1"/>
  <c r="X41" i="1"/>
  <c r="W41" i="1"/>
  <c r="AA41" i="1"/>
  <c r="W37" i="1"/>
  <c r="X37" i="1"/>
  <c r="Y37" i="1"/>
  <c r="Z37" i="1"/>
  <c r="AA37" i="1"/>
  <c r="AA23" i="1"/>
  <c r="W23" i="1"/>
  <c r="X23" i="1"/>
  <c r="Y23" i="1"/>
  <c r="AB23" i="1"/>
  <c r="B11" i="1"/>
  <c r="B13" i="1"/>
  <c r="Z23" i="1"/>
  <c r="AD16" i="1"/>
  <c r="W16" i="1"/>
  <c r="Y16" i="1"/>
  <c r="AA16" i="1"/>
  <c r="Z16" i="1"/>
  <c r="X16" i="1"/>
  <c r="AB16" i="1"/>
  <c r="AC16" i="1"/>
  <c r="Q11" i="1"/>
  <c r="W11" i="1"/>
  <c r="Y5" i="1"/>
  <c r="Z5" i="1"/>
  <c r="AA5" i="1"/>
  <c r="X11" i="1"/>
  <c r="Z11" i="1"/>
  <c r="AA11" i="1"/>
  <c r="AD5" i="1"/>
  <c r="W5" i="1"/>
  <c r="X5" i="1"/>
  <c r="AC5" i="1"/>
  <c r="AB5" i="1"/>
  <c r="G28" i="1"/>
  <c r="L28" i="1"/>
  <c r="S28" i="1"/>
  <c r="F28" i="1"/>
  <c r="K28" i="1"/>
  <c r="R28" i="1"/>
  <c r="Q28" i="1"/>
  <c r="G27" i="1"/>
  <c r="L27" i="1"/>
  <c r="S27" i="1"/>
  <c r="F27" i="1"/>
  <c r="K27" i="1"/>
  <c r="R27" i="1"/>
  <c r="Q27" i="1"/>
  <c r="G26" i="1"/>
  <c r="L26" i="1"/>
  <c r="S26" i="1"/>
  <c r="F26" i="1"/>
  <c r="K26" i="1"/>
  <c r="R26" i="1"/>
  <c r="Q26" i="1"/>
  <c r="G25" i="1"/>
  <c r="L25" i="1"/>
  <c r="S25" i="1"/>
  <c r="F25" i="1"/>
  <c r="K25" i="1"/>
  <c r="R25" i="1"/>
  <c r="Q25" i="1"/>
  <c r="G24" i="1"/>
  <c r="L24" i="1"/>
  <c r="S24" i="1"/>
  <c r="F24" i="1"/>
  <c r="K24" i="1"/>
  <c r="R24" i="1"/>
  <c r="Q24" i="1"/>
  <c r="G23" i="1"/>
  <c r="L23" i="1"/>
  <c r="S23" i="1"/>
  <c r="F23" i="1"/>
  <c r="K23" i="1"/>
  <c r="R23" i="1"/>
  <c r="Q23" i="1"/>
  <c r="G22" i="1"/>
  <c r="L22" i="1"/>
  <c r="S22" i="1"/>
  <c r="F22" i="1"/>
  <c r="K22" i="1"/>
  <c r="R22" i="1"/>
  <c r="Q22" i="1"/>
  <c r="G21" i="1"/>
  <c r="L21" i="1"/>
  <c r="S21" i="1"/>
  <c r="F21" i="1"/>
  <c r="K21" i="1"/>
  <c r="R21" i="1"/>
  <c r="Q21" i="1"/>
  <c r="G20" i="1"/>
  <c r="L20" i="1"/>
  <c r="S20" i="1"/>
  <c r="F20" i="1"/>
  <c r="K20" i="1"/>
  <c r="R20" i="1"/>
  <c r="Q20" i="1"/>
  <c r="Q9" i="1"/>
  <c r="F9" i="1"/>
  <c r="K9" i="1"/>
  <c r="R9" i="1"/>
  <c r="G9" i="1"/>
  <c r="L9" i="1"/>
  <c r="S9" i="1"/>
  <c r="Q10" i="1"/>
  <c r="F10" i="1"/>
  <c r="K10" i="1"/>
  <c r="R10" i="1"/>
  <c r="G10" i="1"/>
  <c r="L10" i="1"/>
  <c r="S10" i="1"/>
  <c r="F11" i="1"/>
  <c r="K11" i="1"/>
  <c r="R11" i="1"/>
  <c r="G11" i="1"/>
  <c r="L11" i="1"/>
  <c r="S11" i="1"/>
  <c r="Q12" i="1"/>
  <c r="F12" i="1"/>
  <c r="K12" i="1"/>
  <c r="R12" i="1"/>
  <c r="G12" i="1"/>
  <c r="L12" i="1"/>
  <c r="S12" i="1"/>
  <c r="Q13" i="1"/>
  <c r="F13" i="1"/>
  <c r="K13" i="1"/>
  <c r="R13" i="1"/>
  <c r="G13" i="1"/>
  <c r="L13" i="1"/>
  <c r="S13" i="1"/>
  <c r="Q14" i="1"/>
  <c r="F14" i="1"/>
  <c r="K14" i="1"/>
  <c r="R14" i="1"/>
  <c r="G14" i="1"/>
  <c r="L14" i="1"/>
  <c r="S14" i="1"/>
  <c r="Q15" i="1"/>
  <c r="F15" i="1"/>
  <c r="K15" i="1"/>
  <c r="R15" i="1"/>
  <c r="G15" i="1"/>
  <c r="L15" i="1"/>
  <c r="S15" i="1"/>
  <c r="Q16" i="1"/>
  <c r="F16" i="1"/>
  <c r="K16" i="1"/>
  <c r="R16" i="1"/>
  <c r="G16" i="1"/>
  <c r="L16" i="1"/>
  <c r="S16" i="1"/>
  <c r="L8" i="1"/>
  <c r="S8" i="1"/>
  <c r="F8" i="1"/>
  <c r="K8" i="1"/>
  <c r="R8" i="1"/>
  <c r="Q8" i="1"/>
  <c r="P28" i="1"/>
  <c r="O28" i="1"/>
  <c r="N28" i="1"/>
  <c r="M28" i="1"/>
  <c r="E28" i="1"/>
  <c r="C28" i="1"/>
  <c r="B28" i="1"/>
  <c r="A28" i="1"/>
  <c r="P27" i="1"/>
  <c r="O27" i="1"/>
  <c r="N27" i="1"/>
  <c r="M27" i="1"/>
  <c r="E27" i="1"/>
  <c r="C27" i="1"/>
  <c r="B27" i="1"/>
  <c r="A27" i="1"/>
  <c r="P26" i="1"/>
  <c r="O26" i="1"/>
  <c r="N26" i="1"/>
  <c r="M26" i="1"/>
  <c r="E26" i="1"/>
  <c r="C26" i="1"/>
  <c r="B26" i="1"/>
  <c r="A26" i="1"/>
  <c r="P25" i="1"/>
  <c r="O25" i="1"/>
  <c r="N25" i="1"/>
  <c r="M25" i="1"/>
  <c r="E25" i="1"/>
  <c r="C25" i="1"/>
  <c r="B25" i="1"/>
  <c r="A25" i="1"/>
  <c r="P24" i="1"/>
  <c r="O24" i="1"/>
  <c r="N24" i="1"/>
  <c r="M24" i="1"/>
  <c r="E24" i="1"/>
  <c r="C24" i="1"/>
  <c r="B24" i="1"/>
  <c r="A24" i="1"/>
  <c r="P23" i="1"/>
  <c r="O23" i="1"/>
  <c r="N23" i="1"/>
  <c r="M23" i="1"/>
  <c r="E23" i="1"/>
  <c r="C23" i="1"/>
  <c r="B23" i="1"/>
  <c r="A23" i="1"/>
  <c r="P22" i="1"/>
  <c r="O22" i="1"/>
  <c r="N22" i="1"/>
  <c r="M22" i="1"/>
  <c r="E22" i="1"/>
  <c r="C22" i="1"/>
  <c r="B22" i="1"/>
  <c r="A22" i="1"/>
  <c r="P21" i="1"/>
  <c r="O21" i="1"/>
  <c r="N21" i="1"/>
  <c r="M21" i="1"/>
  <c r="E21" i="1"/>
  <c r="C21" i="1"/>
  <c r="B21" i="1"/>
  <c r="A21" i="1"/>
  <c r="P20" i="1"/>
  <c r="O20" i="1"/>
  <c r="N20" i="1"/>
  <c r="M20" i="1"/>
  <c r="E20" i="1"/>
  <c r="C20" i="1"/>
  <c r="B20" i="1"/>
  <c r="A20" i="1"/>
  <c r="P16" i="1"/>
  <c r="O16" i="1"/>
  <c r="N16" i="1"/>
  <c r="M16" i="1"/>
  <c r="E16" i="1"/>
  <c r="C16" i="1"/>
  <c r="B16" i="1"/>
  <c r="A16" i="1"/>
  <c r="P15" i="1"/>
  <c r="O15" i="1"/>
  <c r="N15" i="1"/>
  <c r="M15" i="1"/>
  <c r="E15" i="1"/>
  <c r="C15" i="1"/>
  <c r="B15" i="1"/>
  <c r="A15" i="1"/>
  <c r="P14" i="1"/>
  <c r="O14" i="1"/>
  <c r="N14" i="1"/>
  <c r="M14" i="1"/>
  <c r="E14" i="1"/>
  <c r="C14" i="1"/>
  <c r="B14" i="1"/>
  <c r="A14" i="1"/>
  <c r="P13" i="1"/>
  <c r="O13" i="1"/>
  <c r="N13" i="1"/>
  <c r="M13" i="1"/>
  <c r="E13" i="1"/>
  <c r="C13" i="1"/>
  <c r="A13" i="1"/>
  <c r="P12" i="1"/>
  <c r="O12" i="1"/>
  <c r="N12" i="1"/>
  <c r="M12" i="1"/>
  <c r="E12" i="1"/>
  <c r="C12" i="1"/>
  <c r="B12" i="1"/>
  <c r="A12" i="1"/>
  <c r="P11" i="1"/>
  <c r="O11" i="1"/>
  <c r="N11" i="1"/>
  <c r="M11" i="1"/>
  <c r="E11" i="1"/>
  <c r="C11" i="1"/>
  <c r="A11" i="1"/>
  <c r="P10" i="1"/>
  <c r="O10" i="1"/>
  <c r="N10" i="1"/>
  <c r="M10" i="1"/>
  <c r="E10" i="1"/>
  <c r="C10" i="1"/>
  <c r="B10" i="1"/>
  <c r="A10" i="1"/>
  <c r="P9" i="1"/>
  <c r="O9" i="1"/>
  <c r="N9" i="1"/>
  <c r="M9" i="1"/>
  <c r="E9" i="1"/>
  <c r="C9" i="1"/>
  <c r="B9" i="1"/>
  <c r="P8" i="1"/>
  <c r="O8" i="1"/>
  <c r="N8" i="1"/>
  <c r="M8" i="1"/>
  <c r="E8" i="1"/>
  <c r="C8" i="1"/>
  <c r="B8" i="1"/>
</calcChain>
</file>

<file path=xl/sharedStrings.xml><?xml version="1.0" encoding="utf-8"?>
<sst xmlns="http://schemas.openxmlformats.org/spreadsheetml/2006/main" count="158" uniqueCount="88">
  <si>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</si>
  <si>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</si>
  <si>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</si>
  <si>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</si>
  <si>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</si>
  <si>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</si>
  <si>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</si>
  <si>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</si>
  <si>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</si>
  <si>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</si>
  <si>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</si>
  <si>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</si>
  <si>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</si>
  <si>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</si>
  <si>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S</t>
  </si>
  <si>
    <t>K</t>
  </si>
  <si>
    <t>Sigma</t>
  </si>
  <si>
    <t>T</t>
  </si>
  <si>
    <t>r</t>
  </si>
  <si>
    <t>q</t>
  </si>
  <si>
    <t>Call</t>
  </si>
  <si>
    <t>Put</t>
  </si>
  <si>
    <t>Price</t>
  </si>
  <si>
    <t>Delta</t>
  </si>
  <si>
    <t>Gamma</t>
  </si>
  <si>
    <t>Vega</t>
  </si>
  <si>
    <t>Theta</t>
  </si>
  <si>
    <t>option_pricer</t>
  </si>
  <si>
    <t>Bid</t>
  </si>
  <si>
    <t>Ask</t>
  </si>
  <si>
    <t>Straddle</t>
  </si>
  <si>
    <t>2. Put call parity: C - P = S - K + (K*r - S*q); American C - P - K*r &lt;= S - K &lt;= C - P + S*q; where S*q = PV(Div)</t>
  </si>
  <si>
    <t>C</t>
  </si>
  <si>
    <t>P</t>
  </si>
  <si>
    <t>K*r</t>
  </si>
  <si>
    <t>S*q</t>
  </si>
  <si>
    <t>C-P</t>
  </si>
  <si>
    <t>S-K+K*r-S*q</t>
  </si>
  <si>
    <t>* from one to the other; and to straddle</t>
  </si>
  <si>
    <t>3. from straddle to call</t>
  </si>
  <si>
    <t>C+P</t>
  </si>
  <si>
    <t>==&gt;</t>
  </si>
  <si>
    <t>C1</t>
  </si>
  <si>
    <t>P1</t>
  </si>
  <si>
    <t>C2</t>
  </si>
  <si>
    <t>P2</t>
  </si>
  <si>
    <t>C1-C2</t>
  </si>
  <si>
    <t>P2-P1</t>
  </si>
  <si>
    <t>sum</t>
  </si>
  <si>
    <t>* draw payoff graph; it equals to lending PV(K2-K1)</t>
  </si>
  <si>
    <t>PV(K2-K1)</t>
  </si>
  <si>
    <t>* from one spread to the other spread</t>
  </si>
  <si>
    <t>5. buy a spread to lower premium; sell a spread to limit risk</t>
  </si>
  <si>
    <t>time decay</t>
  </si>
  <si>
    <t>payoff St@105</t>
  </si>
  <si>
    <t>% return</t>
  </si>
  <si>
    <t xml:space="preserve">    buy an ITM-OTM spread to zero out theta</t>
  </si>
  <si>
    <t>* C = (S-K) + (r-q) + P = Parity + interest/carry + insurance</t>
  </si>
  <si>
    <t>C3</t>
  </si>
  <si>
    <t>fly</t>
  </si>
  <si>
    <t>7. Iron condor, sell a strangle to collect premium; buy outside strangle to lmit risk</t>
  </si>
  <si>
    <t>C4</t>
  </si>
  <si>
    <t>Iron Condor premium</t>
  </si>
  <si>
    <t>C2-C1</t>
  </si>
  <si>
    <t>r diff</t>
  </si>
  <si>
    <t>P2-P1+rdiff</t>
  </si>
  <si>
    <t>6b. Dupire f(K) = d^2C/dK^2 = fly / k^2</t>
  </si>
  <si>
    <t>f(K)</t>
  </si>
  <si>
    <t>prob [K-k/2, K+k/2]</t>
  </si>
  <si>
    <t>* most expensive fly suggests mode of distribution</t>
  </si>
  <si>
    <t>* cheapest straddle @ ATMF/median</t>
  </si>
  <si>
    <t>1. Compare price and greeks across tables</t>
  </si>
  <si>
    <t>8. calendar spread on K, call spread approx. put spread; long call calendar spread + short put calendar spread = roll</t>
  </si>
  <si>
    <t>6. butterfly, always C1+C3 &gt; 2C2; butterfly always worth between 0 and PV(K2-K1)=PV(K3-K2)</t>
  </si>
  <si>
    <t>European call butterfly = put butterfly</t>
  </si>
  <si>
    <t>Last</t>
  </si>
  <si>
    <t>IV</t>
  </si>
  <si>
    <t>Strike</t>
  </si>
  <si>
    <t>carry</t>
  </si>
  <si>
    <t>S-K</t>
  </si>
  <si>
    <t>Combo</t>
  </si>
  <si>
    <t>2. Stock and combo backs out carry</t>
  </si>
  <si>
    <t>essentially lend or borrow money</t>
  </si>
  <si>
    <t>4. bull call spread + matching bear put spread = box = PV(K2-K1)</t>
  </si>
  <si>
    <t>C1-P1</t>
  </si>
  <si>
    <t>C2-P2</t>
  </si>
  <si>
    <t>roll: PV(carry)</t>
  </si>
  <si>
    <t>calendar spread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</si>
</sst>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0"/>
    <numFmt numFmtId="165" formatCode="0.0%"/>
    <numFmt numFmtId="166" formatCode="0.000"/>
    <numFmt numFmtId="167" formatCode="0.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/>
    <xf numFmtId="0" fontId="0" fillId="0" borderId="2" xfId="0" applyBorder="1"/>
    <xf numFmtId="0" fontId="2" fillId="2" borderId="2" xfId="0" applyFont="1" applyFill="1" applyBorder="1"/>
    <xf numFmtId="0" fontId="0" fillId="0" borderId="3" xfId="0" applyBorder="1"/>
    <xf numFmtId="0" fontId="2" fillId="2" borderId="4" xfId="0" applyFont="1" applyFill="1" applyBorder="1"/>
    <xf numFmtId="0" fontId="0" fillId="0" borderId="0" xfId="0" applyBorder="1"/>
    <xf numFmtId="0" fontId="2" fillId="2" borderId="0" xfId="0" applyFont="1" applyFill="1" applyBorder="1"/>
    <xf numFmtId="0" fontId="0" fillId="0" borderId="5" xfId="0" applyBorder="1"/>
    <xf numFmtId="0" fontId="2" fillId="2" borderId="6" xfId="0" applyFont="1" applyFill="1" applyBorder="1"/>
    <xf numFmtId="0" fontId="0" fillId="0" borderId="7" xfId="0" applyBorder="1"/>
    <xf numFmtId="0" fontId="2" fillId="2" borderId="7" xfId="0" applyFont="1" applyFill="1" applyBorder="1"/>
    <xf numFmtId="0" fontId="0" fillId="0" borderId="8" xfId="0" applyBorder="1"/>
    <xf numFmtId="164" fontId="0" fillId="0" borderId="0" xfId="0" applyNumberFormat="1"/>
    <xf numFmtId="0" fontId="0" fillId="0" borderId="0" xfId="0" applyAlignment="1">
      <alignment horizontal="left"/>
    </xf>
    <xf numFmtId="0" fontId="0" fillId="3" borderId="0" xfId="0" applyFill="1" applyAlignment="1">
      <alignment horizontal="left"/>
    </xf>
    <xf numFmtId="2" fontId="0" fillId="3" borderId="0" xfId="0" applyNumberFormat="1" applyFill="1" applyAlignment="1">
      <alignment horizontal="left"/>
    </xf>
    <xf numFmtId="0" fontId="0" fillId="0" borderId="0" xfId="0" quotePrefix="1"/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65" fontId="0" fillId="0" borderId="0" xfId="1" applyNumberFormat="1" applyFont="1" applyAlignment="1">
      <alignment horizontal="left"/>
    </xf>
    <xf numFmtId="0" fontId="0" fillId="3" borderId="0" xfId="0" applyFill="1"/>
    <xf numFmtId="2" fontId="0" fillId="0" borderId="0" xfId="0" applyNumberFormat="1"/>
    <xf numFmtId="167" fontId="0" fillId="0" borderId="0" xfId="0" applyNumberFormat="1"/>
    <xf numFmtId="164" fontId="0" fillId="0" borderId="0" xfId="0" applyNumberFormat="1" applyFill="1"/>
    <xf numFmtId="2" fontId="2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/>
    <xf numFmtId="0" fontId="5" fillId="0" borderId="0" xfId="0" applyFont="1" applyFill="1"/>
    <xf numFmtId="0" fontId="4" fillId="0" borderId="0" xfId="0" applyFont="1" applyFill="1"/>
    <xf numFmtId="0" fontId="4" fillId="0" borderId="7" xfId="0" applyFont="1" applyFill="1" applyBorder="1" applyAlignment="1">
      <alignment horizontal="center" vertical="center"/>
    </xf>
    <xf numFmtId="166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2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0" xfId="2" applyNumberFormat="1" applyFont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1" fillId="0" borderId="0" xfId="2" applyNumberFormat="1" applyFont="1" applyFill="1" applyAlignment="1">
      <alignment horizontal="center" vertical="center"/>
    </xf>
    <xf numFmtId="166" fontId="1" fillId="0" borderId="0" xfId="2" applyNumberFormat="1" applyFont="1" applyFill="1" applyAlignment="1">
      <alignment horizontal="center" vertical="center"/>
    </xf>
    <xf numFmtId="166" fontId="1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41"/>
  <sheetViews>
    <sheetView tabSelected="1" topLeftCell="T1" zoomScale="80" zoomScaleNormal="80" workbookViewId="0">
      <selection activeCell="AJ15" sqref="AJ15"/>
    </sheetView>
  </sheetViews>
  <sheetFormatPr defaultColWidth="11" defaultRowHeight="15.75" x14ac:dyDescent="0.25"/>
  <cols>
    <col min="2" max="2" width="11.875" bestFit="1" customWidth="1"/>
    <col min="12" max="12" width="12.75" bestFit="1" customWidth="1"/>
    <col min="13" max="13" width="11" customWidth="1"/>
    <col min="14" max="19" width="11" hidden="1" customWidth="1"/>
  </cols>
  <sheetData>
    <row r="1" spans="1:37" x14ac:dyDescent="0.25">
      <c r="A1" s="3" t="s">
        <v>14</v>
      </c>
      <c r="B1" s="4">
        <v>100</v>
      </c>
      <c r="C1" s="5" t="s">
        <v>16</v>
      </c>
      <c r="D1" s="6">
        <v>0.2</v>
      </c>
      <c r="V1" t="s">
        <v>71</v>
      </c>
    </row>
    <row r="2" spans="1:37" x14ac:dyDescent="0.25">
      <c r="A2" s="7" t="s">
        <v>15</v>
      </c>
      <c r="B2" s="8">
        <v>100</v>
      </c>
      <c r="C2" s="9" t="s">
        <v>17</v>
      </c>
      <c r="D2" s="10">
        <v>1</v>
      </c>
    </row>
    <row r="3" spans="1:37" ht="16.5" thickBot="1" x14ac:dyDescent="0.3">
      <c r="A3" s="11" t="s">
        <v>18</v>
      </c>
      <c r="B3" s="12">
        <v>0.02</v>
      </c>
      <c r="C3" s="13" t="s">
        <v>19</v>
      </c>
      <c r="D3" s="14">
        <v>0</v>
      </c>
      <c r="V3" t="s">
        <v>31</v>
      </c>
      <c r="AG3" t="s">
        <v>78</v>
      </c>
      <c r="AH3">
        <f>1/12*B3*105</f>
        <v>0.17499999999999999</v>
      </c>
    </row>
    <row r="4" spans="1:37" x14ac:dyDescent="0.25">
      <c r="W4" s="16" t="s">
        <v>32</v>
      </c>
      <c r="X4" s="16" t="s">
        <v>33</v>
      </c>
      <c r="Y4" s="16" t="s">
        <v>14</v>
      </c>
      <c r="Z4" s="16" t="s">
        <v>15</v>
      </c>
      <c r="AA4" s="16" t="s">
        <v>34</v>
      </c>
      <c r="AB4" s="16" t="s">
        <v>35</v>
      </c>
      <c r="AC4" s="16" t="s">
        <v>36</v>
      </c>
      <c r="AD4" s="16" t="s">
        <v>37</v>
      </c>
      <c r="AG4" s="16" t="s">
        <v>79</v>
      </c>
      <c r="AH4">
        <f>-2</f>
        <v>-2</v>
      </c>
      <c r="AI4">
        <f>AH4+AH3</f>
        <v>-1.825</v>
      </c>
      <c r="AJ4" s="24">
        <f>AH6-AI4</f>
        <v>3.0449999999999999</v>
      </c>
    </row>
    <row r="5" spans="1:37" x14ac:dyDescent="0.25">
      <c r="W5" s="16">
        <f>H11</f>
        <v>3.33</v>
      </c>
      <c r="X5" s="16">
        <f>J11</f>
        <v>1.17</v>
      </c>
      <c r="Y5" s="16">
        <f>B1</f>
        <v>100</v>
      </c>
      <c r="Z5" s="16">
        <f>I11</f>
        <v>98</v>
      </c>
      <c r="AA5" s="16">
        <f>Z5*B3*H6</f>
        <v>0.16333333333333333</v>
      </c>
      <c r="AB5" s="16">
        <f>B1*D3</f>
        <v>0</v>
      </c>
      <c r="AC5" s="17">
        <f>W5-X5</f>
        <v>2.16</v>
      </c>
      <c r="AD5" s="18">
        <f>Y5-Z5+AA5</f>
        <v>2.1633333333333331</v>
      </c>
      <c r="AG5" t="s">
        <v>21</v>
      </c>
      <c r="AH5" s="24">
        <f>J13</f>
        <v>3.05</v>
      </c>
      <c r="AI5">
        <f>bsm($B$1,$I13,$H6,$B$3,$D$3,$T13/100,"put")</f>
        <v>3.0456623126755673</v>
      </c>
      <c r="AJ5" s="32">
        <f>AH5-AH6</f>
        <v>1.8299999999999998</v>
      </c>
    </row>
    <row r="6" spans="1:37" x14ac:dyDescent="0.25">
      <c r="A6" s="28"/>
      <c r="B6" s="28"/>
      <c r="C6" s="28"/>
      <c r="D6" s="28"/>
      <c r="E6" s="28"/>
      <c r="F6" s="28"/>
      <c r="G6" s="28"/>
      <c r="H6" s="27">
        <f>1/12</f>
        <v>8.3333333333333329E-2</v>
      </c>
      <c r="I6" s="28"/>
      <c r="J6" s="28"/>
      <c r="K6" s="28"/>
      <c r="L6" s="28"/>
      <c r="M6" s="28"/>
      <c r="N6" s="28"/>
      <c r="O6" s="28"/>
      <c r="P6" s="42" t="s">
        <v>30</v>
      </c>
      <c r="Q6" s="42"/>
      <c r="R6" s="42"/>
      <c r="S6" s="29"/>
      <c r="T6" s="29"/>
      <c r="U6" s="29"/>
      <c r="W6" t="s">
        <v>38</v>
      </c>
      <c r="AG6" t="s">
        <v>20</v>
      </c>
      <c r="AH6" s="24">
        <f>H13</f>
        <v>1.22</v>
      </c>
      <c r="AI6" s="24">
        <f>bsm($B$1,$I13,$H6,$B$3,$D$3,$T13/100,"call")</f>
        <v>1.2155207246798128</v>
      </c>
      <c r="AJ6" s="32">
        <f>AI5-AI6</f>
        <v>1.8301415879957545</v>
      </c>
    </row>
    <row r="7" spans="1:37" ht="16.5" thickBot="1" x14ac:dyDescent="0.3">
      <c r="A7" s="30" t="s">
        <v>25</v>
      </c>
      <c r="B7" s="30" t="s">
        <v>26</v>
      </c>
      <c r="C7" s="30" t="s">
        <v>24</v>
      </c>
      <c r="D7" s="30"/>
      <c r="E7" s="31" t="s">
        <v>23</v>
      </c>
      <c r="F7" s="31" t="s">
        <v>28</v>
      </c>
      <c r="G7" s="31" t="s">
        <v>29</v>
      </c>
      <c r="H7" s="31" t="s">
        <v>75</v>
      </c>
      <c r="I7" s="31" t="s">
        <v>77</v>
      </c>
      <c r="J7" s="31" t="s">
        <v>75</v>
      </c>
      <c r="K7" s="31" t="s">
        <v>28</v>
      </c>
      <c r="L7" s="31" t="s">
        <v>29</v>
      </c>
      <c r="M7" s="31" t="s">
        <v>23</v>
      </c>
      <c r="N7" s="31" t="s">
        <v>24</v>
      </c>
      <c r="O7" s="31" t="s">
        <v>26</v>
      </c>
      <c r="P7" s="31" t="s">
        <v>25</v>
      </c>
      <c r="Q7" s="31" t="s">
        <v>75</v>
      </c>
      <c r="R7" s="31" t="s">
        <v>28</v>
      </c>
      <c r="S7" s="31" t="s">
        <v>29</v>
      </c>
      <c r="T7" s="31" t="s">
        <v>76</v>
      </c>
      <c r="U7" s="30"/>
      <c r="W7" t="s">
        <v>57</v>
      </c>
    </row>
    <row r="8" spans="1:37" x14ac:dyDescent="0.25">
      <c r="A8" s="15">
        <f>bsm_vega($B$1,$I8,$H6,$B$3,$D$3,$D$1)/100</f>
        <v>1.9574163337938315E-2</v>
      </c>
      <c r="B8" s="15">
        <f>bsm_theta($B$1,$I8,$H6,$B$3,$D$3,$D$1,"call")/365</f>
        <v>-1.1191203321214467E-2</v>
      </c>
      <c r="C8" s="15">
        <f>bsm_gamma($B$1,$I8,$H6,$B$3,$D$3,$D$1)*100</f>
        <v>1.1744498002762989</v>
      </c>
      <c r="D8" s="15"/>
      <c r="E8" s="33">
        <f>bsm_delta($B$1,$I8,$H6,$B$3,$D$3,$D$1,"call")*100</f>
        <v>97.01249184281545</v>
      </c>
      <c r="F8" s="33">
        <f>MAX(H8-0.01,0)</f>
        <v>10.24</v>
      </c>
      <c r="G8" s="33">
        <f>H8+0.01</f>
        <v>10.26</v>
      </c>
      <c r="H8" s="33">
        <f>ROUND(bsm($B$1,$I8,$H6,$B$3,$D$3,$T8/100,"call"), 2)</f>
        <v>10.25</v>
      </c>
      <c r="I8" s="33">
        <v>90</v>
      </c>
      <c r="J8" s="33">
        <f>ROUND(bsm($B$1,$I8,$H6,$B$3,$D$3,$T8/100,"put"), 2)</f>
        <v>0.1</v>
      </c>
      <c r="K8" s="33">
        <f>MAX(J8-0.01,0)</f>
        <v>9.0000000000000011E-2</v>
      </c>
      <c r="L8" s="33">
        <f>J8+0.01</f>
        <v>0.11</v>
      </c>
      <c r="M8" s="33">
        <f>bsm_delta($B$1,$I8,$H6,$B$3,$D$3,$D$1,"put")*100</f>
        <v>-2.9875081571845512</v>
      </c>
      <c r="N8" s="34">
        <f>bsm_gamma($B$1,$I8,$H6,$B$3,$D$3,$D$1)*100</f>
        <v>1.1744498002762989</v>
      </c>
      <c r="O8" s="33">
        <f>bsm_theta($B$1,$I8,$H6,$B$3,$D$3,$D$1,"put")/365</f>
        <v>-6.267908804470112E-3</v>
      </c>
      <c r="P8" s="34">
        <f>bsm_vega($B$1,$I8,$H6,$B$3,$D$3,$D$1)/100</f>
        <v>1.9574163337938315E-2</v>
      </c>
      <c r="Q8" s="33">
        <f>H8+J8</f>
        <v>10.35</v>
      </c>
      <c r="R8" s="33">
        <f>F8+K8</f>
        <v>10.33</v>
      </c>
      <c r="S8" s="33">
        <f>G8+L8</f>
        <v>10.37</v>
      </c>
      <c r="T8" s="33">
        <v>21.4</v>
      </c>
    </row>
    <row r="9" spans="1:37" x14ac:dyDescent="0.25">
      <c r="A9" s="15">
        <f>bsm_vega($B$1,$I9,$H6,$B$3,$D$3,$D$1)/100</f>
        <v>3.7279412809977555E-2</v>
      </c>
      <c r="B9" s="15">
        <f>bsm_theta($B$1,$I9,$H6,$B$3,$D$3,$D$1,"call")/365</f>
        <v>-1.6914816887049086E-2</v>
      </c>
      <c r="C9" s="15">
        <f>bsm_gamma($B$1,$I9,$H6,$B$3,$D$3,$D$1)*100</f>
        <v>2.2367647685986531</v>
      </c>
      <c r="D9" s="15"/>
      <c r="E9" s="33">
        <f>bsm_delta($B$1,$I9,$H6,$B$3,$D$3,$D$1,"call")*100</f>
        <v>93.344458310755996</v>
      </c>
      <c r="F9" s="33">
        <f t="shared" ref="F9:F16" si="0">MAX(H9-0.01,0)</f>
        <v>8.31</v>
      </c>
      <c r="G9" s="33">
        <f t="shared" ref="G9:G16" si="1">H9+0.01</f>
        <v>8.33</v>
      </c>
      <c r="H9" s="33">
        <f>ROUND(bsm($B$1,$I9,$H6,$B$3,$D$3,$T9/100,"call"), 2)</f>
        <v>8.32</v>
      </c>
      <c r="I9" s="33">
        <v>92</v>
      </c>
      <c r="J9" s="33">
        <f>ROUND(bsm($B$1,$I9,$H6,$B$3,$D$3,$T9/100,"put"), 2)</f>
        <v>0.17</v>
      </c>
      <c r="K9" s="33">
        <f t="shared" ref="K9:K16" si="2">MAX(J9-0.01,0)</f>
        <v>0.16</v>
      </c>
      <c r="L9" s="33">
        <f t="shared" ref="L9:L16" si="3">J9+0.01</f>
        <v>0.18000000000000002</v>
      </c>
      <c r="M9" s="33">
        <f>bsm_delta($B$1,$I9,$H6,$B$3,$D$3,$D$1,"put")*100</f>
        <v>-6.6555416892440062</v>
      </c>
      <c r="N9" s="34">
        <f>bsm_gamma($B$1,$I9,$H6,$B$3,$D$3,$D$1)*100</f>
        <v>2.2367647685986531</v>
      </c>
      <c r="O9" s="33">
        <f>bsm_theta($B$1,$I9,$H6,$B$3,$D$3,$D$1,"put")/365</f>
        <v>-1.1882115825488189E-2</v>
      </c>
      <c r="P9" s="34">
        <f>bsm_vega($B$1,$I9,$H6,$B$3,$D$3,$D$1)/100</f>
        <v>3.7279412809977555E-2</v>
      </c>
      <c r="Q9" s="33">
        <f t="shared" ref="Q9:Q16" si="4">H9+J9</f>
        <v>8.49</v>
      </c>
      <c r="R9" s="33">
        <f t="shared" ref="R9:R16" si="5">F9+K9</f>
        <v>8.4700000000000006</v>
      </c>
      <c r="S9" s="33">
        <f t="shared" ref="S9:S16" si="6">G9+L9</f>
        <v>8.51</v>
      </c>
      <c r="T9" s="33">
        <v>19.899999999999999</v>
      </c>
      <c r="V9" t="s">
        <v>39</v>
      </c>
      <c r="AG9" t="s">
        <v>81</v>
      </c>
    </row>
    <row r="10" spans="1:37" x14ac:dyDescent="0.25">
      <c r="A10" s="15">
        <f>bsm_vega($B$1,$I10,$H6,$B$3,$D$3,$D$1)/100</f>
        <v>7.3607958557235453E-2</v>
      </c>
      <c r="B10" s="15">
        <f>bsm_theta($B$1,$I10,$H6,$B$3,$D$3,$D$1,"call")/365</f>
        <v>-2.8424074138501079E-2</v>
      </c>
      <c r="C10" s="15">
        <f>bsm_gamma($B$1,$I10,$H6,$B$3,$D$3,$D$1)*100</f>
        <v>4.4164775134341268</v>
      </c>
      <c r="D10" s="15"/>
      <c r="E10" s="33">
        <f>bsm_delta($B$1,$I10,$H6,$B$3,$D$3,$D$1,"call")*100</f>
        <v>82.796674904882366</v>
      </c>
      <c r="F10" s="33">
        <f t="shared" si="0"/>
        <v>5.62</v>
      </c>
      <c r="G10" s="33">
        <f t="shared" si="1"/>
        <v>5.64</v>
      </c>
      <c r="H10" s="33">
        <f>ROUND(bsm($B$1,$I10,$H6,$B$3,$D$3,$T10/100,"call"), 2)</f>
        <v>5.63</v>
      </c>
      <c r="I10" s="33">
        <v>95</v>
      </c>
      <c r="J10" s="33">
        <f>ROUND(bsm($B$1,$I10,$H6,$B$3,$D$3,$T10/100,"put"), 2)</f>
        <v>0.47</v>
      </c>
      <c r="K10" s="33">
        <f t="shared" si="2"/>
        <v>0.45999999999999996</v>
      </c>
      <c r="L10" s="33">
        <f t="shared" si="3"/>
        <v>0.48</v>
      </c>
      <c r="M10" s="33">
        <f>bsm_delta($B$1,$I10,$H6,$B$3,$D$3,$D$1,"put")*100</f>
        <v>-17.203325095117638</v>
      </c>
      <c r="N10" s="34">
        <f>bsm_gamma($B$1,$I10,$H6,$B$3,$D$3,$D$1)*100</f>
        <v>4.4164775134341268</v>
      </c>
      <c r="O10" s="33">
        <f>bsm_theta($B$1,$I10,$H6,$B$3,$D$3,$D$1,"put")/365</f>
        <v>-2.3227263259715369E-2</v>
      </c>
      <c r="P10" s="34">
        <f>bsm_vega($B$1,$I10,$H6,$B$3,$D$3,$D$1)/100</f>
        <v>7.3607958557235453E-2</v>
      </c>
      <c r="Q10" s="33">
        <f t="shared" si="4"/>
        <v>6.1</v>
      </c>
      <c r="R10" s="33">
        <f t="shared" si="5"/>
        <v>6.08</v>
      </c>
      <c r="S10" s="33">
        <f t="shared" si="6"/>
        <v>6.1199999999999992</v>
      </c>
      <c r="T10" s="33">
        <v>19</v>
      </c>
      <c r="U10" s="25"/>
      <c r="W10" s="16" t="s">
        <v>40</v>
      </c>
      <c r="X10" s="16" t="s">
        <v>36</v>
      </c>
      <c r="Y10" s="19" t="s">
        <v>41</v>
      </c>
      <c r="Z10" s="16" t="s">
        <v>32</v>
      </c>
      <c r="AA10" s="16" t="s">
        <v>33</v>
      </c>
      <c r="AC10" s="16" t="s">
        <v>80</v>
      </c>
      <c r="AD10">
        <f>AI4</f>
        <v>-1.825</v>
      </c>
    </row>
    <row r="11" spans="1:37" x14ac:dyDescent="0.25">
      <c r="A11" s="15">
        <f>bsm_vega($B$1,$I11,$H6,$B$3,$D$3,$D$1)/100</f>
        <v>0.10598225129251576</v>
      </c>
      <c r="B11" s="15">
        <f>bsm_theta($B$1,$I11,$H6,$B$3,$D$3,$D$1,"call")/365</f>
        <v>-3.8257319885772641E-2</v>
      </c>
      <c r="C11" s="15">
        <f>bsm_gamma($B$1,$I11,$H6,$B$3,$D$3,$D$1)*100</f>
        <v>6.358935077550945</v>
      </c>
      <c r="D11" s="15"/>
      <c r="E11" s="33">
        <f>bsm_delta($B$1,$I11,$H6,$B$3,$D$3,$D$1,"call")*100</f>
        <v>65.8236944423994</v>
      </c>
      <c r="F11" s="33">
        <f t="shared" si="0"/>
        <v>3.3200000000000003</v>
      </c>
      <c r="G11" s="33">
        <f t="shared" si="1"/>
        <v>3.34</v>
      </c>
      <c r="H11" s="33">
        <f>ROUND(bsm($B$1,$I11,$H6,$B$3,$D$3,$T11/100,"call"), 2)</f>
        <v>3.33</v>
      </c>
      <c r="I11" s="33">
        <v>98</v>
      </c>
      <c r="J11" s="33">
        <f>ROUND(bsm($B$1,$I11,$H6,$B$3,$D$3,$T11/100,"put"), 2)</f>
        <v>1.17</v>
      </c>
      <c r="K11" s="33">
        <f t="shared" si="2"/>
        <v>1.1599999999999999</v>
      </c>
      <c r="L11" s="33">
        <f t="shared" si="3"/>
        <v>1.18</v>
      </c>
      <c r="M11" s="33">
        <f>bsm_delta($B$1,$I11,$H6,$B$3,$D$3,$D$1,"put")*100</f>
        <v>-34.176305557600607</v>
      </c>
      <c r="N11" s="34">
        <f>bsm_gamma($B$1,$I11,$H6,$B$3,$D$3,$D$1)*100</f>
        <v>6.358935077550945</v>
      </c>
      <c r="O11" s="33">
        <f>bsm_theta($B$1,$I11,$H6,$B$3,$D$3,$D$1,"put")/365</f>
        <v>-3.2896399189762122E-2</v>
      </c>
      <c r="P11" s="34">
        <f>bsm_vega($B$1,$I11,$H6,$B$3,$D$3,$D$1)/100</f>
        <v>0.10598225129251576</v>
      </c>
      <c r="Q11" s="33">
        <f t="shared" si="4"/>
        <v>4.5</v>
      </c>
      <c r="R11" s="33">
        <f t="shared" si="5"/>
        <v>4.4800000000000004</v>
      </c>
      <c r="S11" s="33">
        <f t="shared" si="6"/>
        <v>4.5199999999999996</v>
      </c>
      <c r="T11" s="33">
        <v>18.2</v>
      </c>
      <c r="W11" s="16">
        <f>Q11</f>
        <v>4.5</v>
      </c>
      <c r="X11" s="20">
        <f>Y5-Z5+AA5</f>
        <v>2.1633333333333331</v>
      </c>
      <c r="Z11" s="20">
        <f>(W11+X11)/2</f>
        <v>3.3316666666666666</v>
      </c>
      <c r="AA11" s="20">
        <f>W11-Z11</f>
        <v>1.1683333333333334</v>
      </c>
      <c r="AC11" t="s">
        <v>30</v>
      </c>
      <c r="AD11" s="24">
        <f>H13+J13</f>
        <v>4.2699999999999996</v>
      </c>
      <c r="AE11">
        <v>4.25</v>
      </c>
      <c r="AF11">
        <f>(AE11+AD10)/2</f>
        <v>1.2124999999999999</v>
      </c>
      <c r="AG11" s="24">
        <f>AD11-AF11</f>
        <v>3.0574999999999997</v>
      </c>
    </row>
    <row r="12" spans="1:37" x14ac:dyDescent="0.25">
      <c r="A12" s="26">
        <f>bsm_vega($B$1,$I12,$H6,$B$3,$D$3,$D$1)/100</f>
        <v>0.11497293515846491</v>
      </c>
      <c r="B12" s="26">
        <f>bsm_theta($B$1,$I12,$H6,$B$3,$D$3,$D$1,"call")/365</f>
        <v>-4.0534484768401997E-2</v>
      </c>
      <c r="C12" s="26">
        <f>bsm_gamma($B$1,$I12,$H6,$B$3,$D$3,$D$1)*100</f>
        <v>6.898376109507895</v>
      </c>
      <c r="D12" s="26"/>
      <c r="E12" s="37">
        <f>bsm_delta($B$1,$I12,$H6,$B$3,$D$3,$D$1,"call")*100</f>
        <v>52.30201536139807</v>
      </c>
      <c r="F12" s="37">
        <f t="shared" si="0"/>
        <v>2.12</v>
      </c>
      <c r="G12" s="37">
        <f t="shared" si="1"/>
        <v>2.1399999999999997</v>
      </c>
      <c r="H12" s="38">
        <f>ROUND(bsm($B$1,$I12,$H6,$B$3,$D$3,$T12/100,"call"), 2)</f>
        <v>2.13</v>
      </c>
      <c r="I12" s="37">
        <v>100</v>
      </c>
      <c r="J12" s="38">
        <f>ROUND(bsm($B$1,$I12,$H6,$B$3,$D$3,$T12/100,"put"), 2)</f>
        <v>1.97</v>
      </c>
      <c r="K12" s="37">
        <f t="shared" si="2"/>
        <v>1.96</v>
      </c>
      <c r="L12" s="37">
        <f t="shared" si="3"/>
        <v>1.98</v>
      </c>
      <c r="M12" s="37">
        <f>bsm_delta($B$1,$I12,$H6,$B$3,$D$3,$D$1,"put")*100</f>
        <v>-47.69798463860193</v>
      </c>
      <c r="N12" s="39">
        <f>bsm_gamma($B$1,$I12,$H6,$B$3,$D$3,$D$1)*100</f>
        <v>6.898376109507895</v>
      </c>
      <c r="O12" s="37">
        <f>bsm_theta($B$1,$I12,$H6,$B$3,$D$3,$D$1,"put")/365</f>
        <v>-3.5064157527574941E-2</v>
      </c>
      <c r="P12" s="39">
        <f>bsm_vega($B$1,$I12,$H6,$B$3,$D$3,$D$1)/100</f>
        <v>0.11497293515846491</v>
      </c>
      <c r="Q12" s="37">
        <f t="shared" si="4"/>
        <v>4.0999999999999996</v>
      </c>
      <c r="R12" s="37">
        <f t="shared" si="5"/>
        <v>4.08</v>
      </c>
      <c r="S12" s="37">
        <f t="shared" si="6"/>
        <v>4.1199999999999992</v>
      </c>
      <c r="T12" s="38">
        <v>17.8</v>
      </c>
      <c r="W12" t="s">
        <v>70</v>
      </c>
    </row>
    <row r="13" spans="1:37" x14ac:dyDescent="0.25">
      <c r="A13" s="15">
        <f>bsm_vega($B$1,$I13,$H6,$B$3,$D$3,$D$1)/100</f>
        <v>0.11057320323541035</v>
      </c>
      <c r="B13" s="15">
        <f>bsm_theta($B$1,$I13,$H6,$B$3,$D$3,$D$1,"call")/365</f>
        <v>-3.8393913964750608E-2</v>
      </c>
      <c r="C13" s="15">
        <f>bsm_gamma($B$1,$I13,$H6,$B$3,$D$3,$D$1)*100</f>
        <v>6.6343921941246204</v>
      </c>
      <c r="D13" s="15"/>
      <c r="E13" s="33">
        <f>bsm_delta($B$1,$I13,$H6,$B$3,$D$3,$D$1,"call")*100</f>
        <v>38.77238034550308</v>
      </c>
      <c r="F13" s="33">
        <f t="shared" si="0"/>
        <v>1.21</v>
      </c>
      <c r="G13" s="33">
        <f t="shared" si="1"/>
        <v>1.23</v>
      </c>
      <c r="H13" s="33">
        <f>ROUND(bsm($B$1,$I13,$H6,$B$3,$D$3,$T13/100,"call"), 2)</f>
        <v>1.22</v>
      </c>
      <c r="I13" s="33">
        <v>102</v>
      </c>
      <c r="J13" s="33">
        <f>ROUND(bsm($B$1,$I13,$H6,$B$3,$D$3,$T13/100,"put"), 2)</f>
        <v>3.05</v>
      </c>
      <c r="K13" s="33">
        <f t="shared" si="2"/>
        <v>3.04</v>
      </c>
      <c r="L13" s="33">
        <f t="shared" si="3"/>
        <v>3.0599999999999996</v>
      </c>
      <c r="M13" s="33">
        <f>bsm_delta($B$1,$I13,$H6,$B$3,$D$3,$D$1,"put")*100</f>
        <v>-61.22761965449692</v>
      </c>
      <c r="N13" s="34">
        <f>bsm_gamma($B$1,$I13,$H6,$B$3,$D$3,$D$1)*100</f>
        <v>6.6343921941246204</v>
      </c>
      <c r="O13" s="33">
        <f>bsm_theta($B$1,$I13,$H6,$B$3,$D$3,$D$1,"put")/365</f>
        <v>-3.2814180179107012E-2</v>
      </c>
      <c r="P13" s="34">
        <f>bsm_vega($B$1,$I13,$H6,$B$3,$D$3,$D$1)/100</f>
        <v>0.11057320323541035</v>
      </c>
      <c r="Q13" s="33">
        <f t="shared" si="4"/>
        <v>4.2699999999999996</v>
      </c>
      <c r="R13" s="33">
        <f t="shared" si="5"/>
        <v>4.25</v>
      </c>
      <c r="S13" s="33">
        <f t="shared" si="6"/>
        <v>4.2899999999999991</v>
      </c>
      <c r="T13" s="33">
        <v>17.2</v>
      </c>
    </row>
    <row r="14" spans="1:37" x14ac:dyDescent="0.25">
      <c r="A14" s="15">
        <f>bsm_vega($B$1,$I14,$H6,$B$3,$D$3,$D$1)/100</f>
        <v>8.4471559220340678E-2</v>
      </c>
      <c r="B14" s="15">
        <f>bsm_theta($B$1,$I14,$H6,$B$3,$D$3,$D$1,"call")/365</f>
        <v>-2.8914701788622418E-2</v>
      </c>
      <c r="C14" s="15">
        <f>bsm_gamma($B$1,$I14,$H6,$B$3,$D$3,$D$1)*100</f>
        <v>5.0682935532204407</v>
      </c>
      <c r="D14" s="15"/>
      <c r="E14" s="33">
        <f>bsm_delta($B$1,$I14,$H6,$B$3,$D$3,$D$1,"call")*100</f>
        <v>21.554277438637971</v>
      </c>
      <c r="F14" s="33">
        <f t="shared" si="0"/>
        <v>0.39999999999999997</v>
      </c>
      <c r="G14" s="33">
        <f t="shared" si="1"/>
        <v>0.42</v>
      </c>
      <c r="H14" s="33">
        <f>ROUND(bsm($B$1,$I14,$H6,$B$3,$D$3,$T14/100,"call"), 2)</f>
        <v>0.41</v>
      </c>
      <c r="I14" s="33">
        <v>105</v>
      </c>
      <c r="J14" s="33">
        <f>ROUND(bsm($B$1,$I14,$H6,$B$3,$D$3,$T14/100,"put"), 2)</f>
        <v>5.23</v>
      </c>
      <c r="K14" s="33">
        <f t="shared" si="2"/>
        <v>5.2200000000000006</v>
      </c>
      <c r="L14" s="33">
        <f t="shared" si="3"/>
        <v>5.24</v>
      </c>
      <c r="M14" s="33">
        <f>bsm_delta($B$1,$I14,$H6,$B$3,$D$3,$D$1,"put")*100</f>
        <v>-78.445722561362032</v>
      </c>
      <c r="N14" s="34">
        <f>bsm_gamma($B$1,$I14,$H6,$B$3,$D$3,$D$1)*100</f>
        <v>5.0682935532204407</v>
      </c>
      <c r="O14" s="33">
        <f>bsm_theta($B$1,$I14,$H6,$B$3,$D$3,$D$1,"put")/365</f>
        <v>-2.3170858185754005E-2</v>
      </c>
      <c r="P14" s="34">
        <f>bsm_vega($B$1,$I14,$H6,$B$3,$D$3,$D$1)/100</f>
        <v>8.4471559220340678E-2</v>
      </c>
      <c r="Q14" s="33">
        <f t="shared" si="4"/>
        <v>5.6400000000000006</v>
      </c>
      <c r="R14" s="33">
        <f t="shared" si="5"/>
        <v>5.620000000000001</v>
      </c>
      <c r="S14" s="33">
        <f t="shared" si="6"/>
        <v>5.66</v>
      </c>
      <c r="T14" s="33">
        <v>16.399999999999999</v>
      </c>
      <c r="V14" t="s">
        <v>83</v>
      </c>
      <c r="AG14" t="s">
        <v>46</v>
      </c>
      <c r="AH14" s="24">
        <f>H11-H13</f>
        <v>2.1100000000000003</v>
      </c>
      <c r="AK14" t="s">
        <v>82</v>
      </c>
    </row>
    <row r="15" spans="1:37" x14ac:dyDescent="0.25">
      <c r="A15" s="15">
        <f>bsm_vega($B$1,$I15,$H6,$B$3,$D$3,$D$1)/100</f>
        <v>5.1070524837843662E-2</v>
      </c>
      <c r="B15" s="15">
        <f>bsm_theta($B$1,$I15,$H6,$B$3,$D$3,$D$1,"call")/365</f>
        <v>-1.732950003116002E-2</v>
      </c>
      <c r="C15" s="15">
        <f>bsm_gamma($B$1,$I15,$H6,$B$3,$D$3,$D$1)*100</f>
        <v>3.06423149027062</v>
      </c>
      <c r="D15" s="15"/>
      <c r="E15" s="33">
        <f>bsm_delta($B$1,$I15,$H6,$B$3,$D$3,$D$1,"call")*100</f>
        <v>10.110696866831281</v>
      </c>
      <c r="F15" s="33">
        <f t="shared" si="0"/>
        <v>9.0000000000000011E-2</v>
      </c>
      <c r="G15" s="33">
        <f t="shared" si="1"/>
        <v>0.11</v>
      </c>
      <c r="H15" s="33">
        <f>ROUND(bsm($B$1,$I15,$H6,$B$3,$D$3,$T15/100,"call"), 2)</f>
        <v>0.1</v>
      </c>
      <c r="I15" s="33">
        <v>108</v>
      </c>
      <c r="J15" s="33">
        <f>ROUND(bsm($B$1,$I15,$H6,$B$3,$D$3,$T15/100,"put"), 2)</f>
        <v>7.92</v>
      </c>
      <c r="K15" s="33">
        <f t="shared" si="2"/>
        <v>7.91</v>
      </c>
      <c r="L15" s="33">
        <f t="shared" si="3"/>
        <v>7.93</v>
      </c>
      <c r="M15" s="33">
        <f>bsm_delta($B$1,$I15,$H6,$B$3,$D$3,$D$1,"put")*100</f>
        <v>-89.889303133168724</v>
      </c>
      <c r="N15" s="34">
        <f>bsm_gamma($B$1,$I15,$H6,$B$3,$D$3,$D$1)*100</f>
        <v>3.06423149027062</v>
      </c>
      <c r="O15" s="33">
        <f>bsm_theta($B$1,$I15,$H6,$B$3,$D$3,$D$1,"put")/365</f>
        <v>-1.1421546611066794E-2</v>
      </c>
      <c r="P15" s="34">
        <f>bsm_vega($B$1,$I15,$H6,$B$3,$D$3,$D$1)/100</f>
        <v>5.1070524837843662E-2</v>
      </c>
      <c r="Q15" s="33">
        <f t="shared" si="4"/>
        <v>8.02</v>
      </c>
      <c r="R15" s="33">
        <f t="shared" si="5"/>
        <v>8</v>
      </c>
      <c r="S15" s="33">
        <f t="shared" si="6"/>
        <v>8.0399999999999991</v>
      </c>
      <c r="T15" s="33">
        <v>15.9</v>
      </c>
      <c r="W15" s="16" t="s">
        <v>42</v>
      </c>
      <c r="X15" s="16" t="s">
        <v>43</v>
      </c>
      <c r="Y15" s="16" t="s">
        <v>44</v>
      </c>
      <c r="Z15" s="16" t="s">
        <v>45</v>
      </c>
      <c r="AA15" s="16" t="s">
        <v>46</v>
      </c>
      <c r="AB15" s="16" t="s">
        <v>47</v>
      </c>
      <c r="AC15" s="16" t="s">
        <v>48</v>
      </c>
      <c r="AD15" s="16" t="s">
        <v>50</v>
      </c>
      <c r="AG15" s="16" t="s">
        <v>47</v>
      </c>
      <c r="AH15" s="24">
        <f>J13-J11</f>
        <v>1.88</v>
      </c>
      <c r="AI15" s="24">
        <f>AH14+AH15</f>
        <v>3.99</v>
      </c>
      <c r="AJ15">
        <f>4/(1+B3/12)</f>
        <v>3.9933444259567388</v>
      </c>
    </row>
    <row r="16" spans="1:37" x14ac:dyDescent="0.25">
      <c r="A16" s="15">
        <f>bsm_vega($B$1,$I16,$H6,$B$3,$D$3,$D$1)/100</f>
        <v>3.2375513402013341E-2</v>
      </c>
      <c r="B16" s="15">
        <f>bsm_theta($B$1,$I16,$H6,$B$3,$D$3,$D$1,"call")/365</f>
        <v>-1.0941187325231758E-2</v>
      </c>
      <c r="C16" s="15">
        <f>bsm_gamma($B$1,$I16,$H6,$B$3,$D$3,$D$1)*100</f>
        <v>1.9425308041208005</v>
      </c>
      <c r="D16" s="15"/>
      <c r="E16" s="33">
        <f>bsm_delta($B$1,$I16,$H6,$B$3,$D$3,$D$1,"call")*100</f>
        <v>5.5570482080003112</v>
      </c>
      <c r="F16" s="33">
        <f t="shared" si="0"/>
        <v>1.9999999999999997E-2</v>
      </c>
      <c r="G16" s="33">
        <f t="shared" si="1"/>
        <v>0.04</v>
      </c>
      <c r="H16" s="33">
        <f>ROUND(bsm($B$1,$I16,$H6,$B$3,$D$3,$T16/100,"call"), 2)</f>
        <v>0.03</v>
      </c>
      <c r="I16" s="33">
        <v>110</v>
      </c>
      <c r="J16" s="33">
        <f>ROUND(bsm($B$1,$I16,$H6,$B$3,$D$3,$T16/100,"put"), 2)</f>
        <v>9.85</v>
      </c>
      <c r="K16" s="33">
        <f t="shared" si="2"/>
        <v>9.84</v>
      </c>
      <c r="L16" s="33">
        <f t="shared" si="3"/>
        <v>9.86</v>
      </c>
      <c r="M16" s="33">
        <f>bsm_delta($B$1,$I16,$H6,$B$3,$D$3,$D$1,"put")*100</f>
        <v>-94.44295179199969</v>
      </c>
      <c r="N16" s="34">
        <f>bsm_gamma($B$1,$I16,$H6,$B$3,$D$3,$D$1)*100</f>
        <v>1.9425308041208005</v>
      </c>
      <c r="O16" s="33">
        <f>bsm_theta($B$1,$I16,$H6,$B$3,$D$3,$D$1,"put")/365</f>
        <v>-4.9238273603219914E-3</v>
      </c>
      <c r="P16" s="34">
        <f>bsm_vega($B$1,$I16,$H6,$B$3,$D$3,$D$1)/100</f>
        <v>3.2375513402013341E-2</v>
      </c>
      <c r="Q16" s="33">
        <f t="shared" si="4"/>
        <v>9.879999999999999</v>
      </c>
      <c r="R16" s="33">
        <f t="shared" si="5"/>
        <v>9.86</v>
      </c>
      <c r="S16" s="33">
        <f t="shared" si="6"/>
        <v>9.8999999999999986</v>
      </c>
      <c r="T16" s="33">
        <v>15.5</v>
      </c>
      <c r="W16" s="16">
        <f>H11</f>
        <v>3.33</v>
      </c>
      <c r="X16" s="16">
        <f>J11</f>
        <v>1.17</v>
      </c>
      <c r="Y16" s="16">
        <f>H12</f>
        <v>2.13</v>
      </c>
      <c r="Z16" s="16">
        <f>J12</f>
        <v>1.97</v>
      </c>
      <c r="AA16" s="16">
        <f>W16-Y16</f>
        <v>1.2000000000000002</v>
      </c>
      <c r="AB16" s="16">
        <f>Z16-X16</f>
        <v>0.8</v>
      </c>
      <c r="AC16" s="17">
        <f>AA16+AB16</f>
        <v>2</v>
      </c>
      <c r="AD16" s="18">
        <f>(I12-I11)*EXP(-B3*H6)</f>
        <v>1.9966694429018774</v>
      </c>
    </row>
    <row r="17" spans="1:35" x14ac:dyDescent="0.25">
      <c r="W17" t="s">
        <v>49</v>
      </c>
    </row>
    <row r="18" spans="1:35" x14ac:dyDescent="0.25">
      <c r="A18" s="28"/>
      <c r="B18" s="28"/>
      <c r="C18" s="28"/>
      <c r="D18" s="28"/>
      <c r="E18" s="28"/>
      <c r="F18" s="28"/>
      <c r="G18" s="28"/>
      <c r="H18" s="28"/>
      <c r="I18" s="27">
        <f>2/12</f>
        <v>0.16666666666666666</v>
      </c>
      <c r="J18" s="28"/>
      <c r="K18" s="28"/>
      <c r="L18" s="28"/>
      <c r="M18" s="28"/>
      <c r="N18" s="28"/>
      <c r="O18" s="28"/>
      <c r="P18" s="28"/>
      <c r="Q18" s="42" t="s">
        <v>30</v>
      </c>
      <c r="R18" s="42"/>
      <c r="S18" s="42"/>
      <c r="T18" s="29"/>
      <c r="W18" t="s">
        <v>51</v>
      </c>
    </row>
    <row r="19" spans="1:35" ht="16.5" thickBot="1" x14ac:dyDescent="0.3">
      <c r="A19" s="30" t="s">
        <v>25</v>
      </c>
      <c r="B19" s="30" t="s">
        <v>26</v>
      </c>
      <c r="C19" s="30" t="s">
        <v>24</v>
      </c>
      <c r="D19" s="30"/>
      <c r="E19" s="31" t="s">
        <v>23</v>
      </c>
      <c r="F19" s="31" t="s">
        <v>28</v>
      </c>
      <c r="G19" s="31" t="s">
        <v>29</v>
      </c>
      <c r="H19" s="31" t="s">
        <v>75</v>
      </c>
      <c r="I19" s="31" t="s">
        <v>77</v>
      </c>
      <c r="J19" s="31" t="s">
        <v>75</v>
      </c>
      <c r="K19" s="31" t="s">
        <v>28</v>
      </c>
      <c r="L19" s="31" t="s">
        <v>29</v>
      </c>
      <c r="M19" s="31" t="s">
        <v>23</v>
      </c>
      <c r="N19" s="31" t="s">
        <v>24</v>
      </c>
      <c r="O19" s="31" t="s">
        <v>26</v>
      </c>
      <c r="P19" s="31" t="s">
        <v>25</v>
      </c>
      <c r="Q19" s="31" t="s">
        <v>22</v>
      </c>
      <c r="R19" s="31" t="s">
        <v>28</v>
      </c>
      <c r="S19" s="31" t="s">
        <v>29</v>
      </c>
      <c r="T19" s="31" t="s">
        <v>76</v>
      </c>
      <c r="U19" s="29"/>
      <c r="AG19" t="s">
        <v>86</v>
      </c>
    </row>
    <row r="20" spans="1:35" x14ac:dyDescent="0.25">
      <c r="A20" s="15">
        <f>bsm_vega($B$1,$I20,$I18,$B$3,$D$3,$D$1)/100</f>
        <v>6.3540677584939004E-2</v>
      </c>
      <c r="B20" s="15">
        <f>bsm_theta($B$1,$I20,$I18,$B$3,$D$3,$D$1,"call")/365</f>
        <v>-1.4876216412519664E-2</v>
      </c>
      <c r="C20" s="15">
        <f>bsm_gamma($B$1,$I20,$I18,$B$3,$D$3,$D$1)*100</f>
        <v>1.9062203275481699</v>
      </c>
      <c r="D20" s="15"/>
      <c r="E20" s="33">
        <f>bsm_delta($B$1,$I20,$I18,$B$3,$D$3,$D$1,"call")*100</f>
        <v>91.497562298841174</v>
      </c>
      <c r="F20" s="33">
        <f>MAX(H20-0.01,0)</f>
        <v>10.790000000000001</v>
      </c>
      <c r="G20" s="33">
        <f>H20+0.01</f>
        <v>10.81</v>
      </c>
      <c r="H20" s="33">
        <f>ROUND(bsm($B$1,$I20,$I18,$B$3,$D$3,$T20/100,"call"), 2)</f>
        <v>10.8</v>
      </c>
      <c r="I20" s="33">
        <v>90</v>
      </c>
      <c r="J20" s="33">
        <f>ROUND(bsm($B$1,$I20,$I18,$B$3,$D$3,$T20/100,"put"), 2)</f>
        <v>0.5</v>
      </c>
      <c r="K20" s="33">
        <f>MAX(J20-0.01,0)</f>
        <v>0.49</v>
      </c>
      <c r="L20" s="33">
        <f>J20+0.01</f>
        <v>0.51</v>
      </c>
      <c r="M20" s="33">
        <f>bsm_delta($B$1,$I20,$I18,$B$3,$D$3,$D$1,"put")*100</f>
        <v>-8.5024377011588275</v>
      </c>
      <c r="N20" s="34">
        <f>bsm_gamma($B$1,$I20,$I18,$B$3,$D$3,$D$1)*100</f>
        <v>1.9062203275481699</v>
      </c>
      <c r="O20" s="33">
        <f>bsm_theta($B$1,$I20,$I18,$B$3,$D$3,$D$1,"put")/365</f>
        <v>-9.961120552524752E-3</v>
      </c>
      <c r="P20" s="34">
        <f>bsm_vega($B$1,$I20,$I18,$B$3,$D$3,$D$1)/100</f>
        <v>6.3540677584939004E-2</v>
      </c>
      <c r="Q20" s="33">
        <f>H20+J20</f>
        <v>11.3</v>
      </c>
      <c r="R20" s="33">
        <f>F20+K20</f>
        <v>11.280000000000001</v>
      </c>
      <c r="S20" s="33">
        <f>G20+L20</f>
        <v>11.32</v>
      </c>
      <c r="T20" s="33">
        <f t="shared" ref="T20:T28" si="7">T8+1</f>
        <v>22.4</v>
      </c>
      <c r="U20" s="30"/>
      <c r="V20" t="s">
        <v>52</v>
      </c>
      <c r="AG20" t="s">
        <v>84</v>
      </c>
      <c r="AH20" s="24">
        <f>H13-J13</f>
        <v>-1.8299999999999998</v>
      </c>
    </row>
    <row r="21" spans="1:35" x14ac:dyDescent="0.25">
      <c r="A21" s="15">
        <f>bsm_vega($B$1,$I21,$I18,$B$3,$D$3,$D$1)/100</f>
        <v>8.8657897575315378E-2</v>
      </c>
      <c r="B21" s="15">
        <f>bsm_theta($B$1,$I21,$I18,$B$3,$D$3,$D$1,"call")/365</f>
        <v>-1.8826601113095115E-2</v>
      </c>
      <c r="C21" s="15">
        <f>bsm_gamma($B$1,$I21,$I18,$B$3,$D$3,$D$1)*100</f>
        <v>2.6597369272594613</v>
      </c>
      <c r="D21" s="15"/>
      <c r="E21" s="33">
        <f>bsm_delta($B$1,$I21,$I18,$B$3,$D$3,$D$1,"call")*100</f>
        <v>86.495637194848356</v>
      </c>
      <c r="F21" s="33">
        <f t="shared" ref="F21:F28" si="8">MAX(H21-0.01,0)</f>
        <v>8.9600000000000009</v>
      </c>
      <c r="G21" s="33">
        <f t="shared" ref="G21:G28" si="9">H21+0.01</f>
        <v>8.98</v>
      </c>
      <c r="H21" s="33">
        <f>ROUND(bsm($B$1,$I21,$I18,$B$3,$D$3,$T21/100,"call"), 2)</f>
        <v>8.9700000000000006</v>
      </c>
      <c r="I21" s="33">
        <v>92</v>
      </c>
      <c r="J21" s="33">
        <f>ROUND(bsm($B$1,$I21,$I18,$B$3,$D$3,$T21/100,"put"), 2)</f>
        <v>0.66</v>
      </c>
      <c r="K21" s="33">
        <f t="shared" ref="K21:K28" si="10">MAX(J21-0.01,0)</f>
        <v>0.65</v>
      </c>
      <c r="L21" s="33">
        <f t="shared" ref="L21:L28" si="11">J21+0.01</f>
        <v>0.67</v>
      </c>
      <c r="M21" s="33">
        <f>bsm_delta($B$1,$I21,$I18,$B$3,$D$3,$D$1,"put")*100</f>
        <v>-13.504362805151636</v>
      </c>
      <c r="N21" s="34">
        <f>bsm_gamma($B$1,$I21,$I18,$B$3,$D$3,$D$1)*100</f>
        <v>2.6597369272594613</v>
      </c>
      <c r="O21" s="33">
        <f>bsm_theta($B$1,$I21,$I18,$B$3,$D$3,$D$1,"put")/365</f>
        <v>-1.3802280900655875E-2</v>
      </c>
      <c r="P21" s="34">
        <f>bsm_vega($B$1,$I21,$I18,$B$3,$D$3,$D$1)/100</f>
        <v>8.8657897575315378E-2</v>
      </c>
      <c r="Q21" s="33">
        <f t="shared" ref="Q21:Q28" si="12">H21+J21</f>
        <v>9.6300000000000008</v>
      </c>
      <c r="R21" s="33">
        <f t="shared" ref="R21:R28" si="13">F21+K21</f>
        <v>9.6100000000000012</v>
      </c>
      <c r="S21" s="33">
        <f t="shared" ref="S21:S28" si="14">G21+L21</f>
        <v>9.65</v>
      </c>
      <c r="T21" s="33">
        <f t="shared" si="7"/>
        <v>20.9</v>
      </c>
      <c r="V21" t="s">
        <v>56</v>
      </c>
      <c r="AG21" t="s">
        <v>85</v>
      </c>
      <c r="AH21" s="24">
        <f>H25-J25</f>
        <v>-1.6600000000000001</v>
      </c>
      <c r="AI21" s="24">
        <f>AH20-AH21</f>
        <v>-0.16999999999999971</v>
      </c>
    </row>
    <row r="22" spans="1:35" x14ac:dyDescent="0.25">
      <c r="A22" s="15">
        <f>bsm_vega($B$1,$I22,$I18,$B$3,$D$3,$D$1)/100</f>
        <v>0.12659401449956026</v>
      </c>
      <c r="B22" s="15">
        <f>bsm_theta($B$1,$I22,$I18,$B$3,$D$3,$D$1,"call")/365</f>
        <v>-2.4623620196336588E-2</v>
      </c>
      <c r="C22" s="15">
        <f>bsm_gamma($B$1,$I22,$I18,$B$3,$D$3,$D$1)*100</f>
        <v>3.7978204349868072</v>
      </c>
      <c r="D22" s="15"/>
      <c r="E22" s="33">
        <f>bsm_delta($B$1,$I22,$I18,$B$3,$D$3,$D$1,"call")*100</f>
        <v>76.1105033109218</v>
      </c>
      <c r="F22" s="33">
        <f t="shared" si="8"/>
        <v>6.5</v>
      </c>
      <c r="G22" s="33">
        <f t="shared" si="9"/>
        <v>6.52</v>
      </c>
      <c r="H22" s="33">
        <f>ROUND(bsm($B$1,$I22,$I18,$B$3,$D$3,$T22/100,"call"), 2)</f>
        <v>6.51</v>
      </c>
      <c r="I22" s="33">
        <v>95</v>
      </c>
      <c r="J22" s="33">
        <f>ROUND(bsm($B$1,$I22,$I18,$B$3,$D$3,$T22/100,"put"), 2)</f>
        <v>1.2</v>
      </c>
      <c r="K22" s="33">
        <f t="shared" si="10"/>
        <v>1.19</v>
      </c>
      <c r="L22" s="33">
        <f t="shared" si="11"/>
        <v>1.21</v>
      </c>
      <c r="M22" s="33">
        <f>bsm_delta($B$1,$I22,$I18,$B$3,$D$3,$D$1,"put")*100</f>
        <v>-23.889496689078193</v>
      </c>
      <c r="N22" s="34">
        <f>bsm_gamma($B$1,$I22,$I18,$B$3,$D$3,$D$1)*100</f>
        <v>3.7978204349868072</v>
      </c>
      <c r="O22" s="33">
        <f>bsm_theta($B$1,$I22,$I18,$B$3,$D$3,$D$1,"put")/365</f>
        <v>-1.943546345523085E-2</v>
      </c>
      <c r="P22" s="34">
        <f>bsm_vega($B$1,$I22,$I18,$B$3,$D$3,$D$1)/100</f>
        <v>0.12659401449956026</v>
      </c>
      <c r="Q22" s="33">
        <f t="shared" si="12"/>
        <v>7.71</v>
      </c>
      <c r="R22" s="33">
        <f t="shared" si="13"/>
        <v>7.6899999999999995</v>
      </c>
      <c r="S22" s="33">
        <f t="shared" si="14"/>
        <v>7.7299999999999995</v>
      </c>
      <c r="T22" s="33">
        <f t="shared" si="7"/>
        <v>20</v>
      </c>
      <c r="W22" t="s">
        <v>42</v>
      </c>
      <c r="X22" t="s">
        <v>44</v>
      </c>
      <c r="Y22" t="s">
        <v>46</v>
      </c>
      <c r="Z22" t="s">
        <v>53</v>
      </c>
      <c r="AA22" t="s">
        <v>54</v>
      </c>
      <c r="AB22" t="s">
        <v>55</v>
      </c>
    </row>
    <row r="23" spans="1:35" x14ac:dyDescent="0.25">
      <c r="A23" s="15">
        <f>bsm_vega($B$1,$I23,$I18,$B$3,$D$3,$D$1)/100</f>
        <v>0.1542831833616243</v>
      </c>
      <c r="B23" s="15">
        <f>bsm_theta($B$1,$I23,$I18,$B$3,$D$3,$D$1,"call")/365</f>
        <v>-2.8560574589506841E-2</v>
      </c>
      <c r="C23" s="15">
        <f>bsm_gamma($B$1,$I23,$I18,$B$3,$D$3,$D$1)*100</f>
        <v>4.6284955008487287</v>
      </c>
      <c r="D23" s="15"/>
      <c r="E23" s="33">
        <f>bsm_delta($B$1,$I23,$I18,$B$3,$D$3,$D$1,"call")*100</f>
        <v>62.89528732731462</v>
      </c>
      <c r="F23" s="33">
        <f t="shared" si="8"/>
        <v>4.38</v>
      </c>
      <c r="G23" s="33">
        <f t="shared" si="9"/>
        <v>4.3999999999999995</v>
      </c>
      <c r="H23" s="33">
        <f>ROUND(bsm($B$1,$I23,$I18,$B$3,$D$3,$T23/100,"call"), 2)</f>
        <v>4.3899999999999997</v>
      </c>
      <c r="I23" s="33">
        <v>98</v>
      </c>
      <c r="J23" s="33">
        <f>ROUND(bsm($B$1,$I23,$I18,$B$3,$D$3,$T23/100,"put"), 2)</f>
        <v>2.0699999999999998</v>
      </c>
      <c r="K23" s="33">
        <f t="shared" si="10"/>
        <v>2.06</v>
      </c>
      <c r="L23" s="33">
        <f t="shared" si="11"/>
        <v>2.0799999999999996</v>
      </c>
      <c r="M23" s="33">
        <f>bsm_delta($B$1,$I23,$I18,$B$3,$D$3,$D$1,"put")*100</f>
        <v>-37.10471267268538</v>
      </c>
      <c r="N23" s="34">
        <f>bsm_gamma($B$1,$I23,$I18,$B$3,$D$3,$D$1)*100</f>
        <v>4.6284955008487287</v>
      </c>
      <c r="O23" s="33">
        <f>bsm_theta($B$1,$I23,$I18,$B$3,$D$3,$D$1,"put")/365</f>
        <v>-2.3208581319734613E-2</v>
      </c>
      <c r="P23" s="34">
        <f>bsm_vega($B$1,$I23,$I18,$B$3,$D$3,$D$1)/100</f>
        <v>0.1542831833616243</v>
      </c>
      <c r="Q23" s="33">
        <f t="shared" si="12"/>
        <v>6.4599999999999991</v>
      </c>
      <c r="R23" s="33">
        <f t="shared" si="13"/>
        <v>6.4399999999999995</v>
      </c>
      <c r="S23" s="33">
        <f t="shared" si="14"/>
        <v>6.4799999999999986</v>
      </c>
      <c r="T23" s="33">
        <f t="shared" si="7"/>
        <v>19.2</v>
      </c>
      <c r="W23" s="16">
        <f>H11</f>
        <v>3.33</v>
      </c>
      <c r="X23" s="16">
        <f>H13</f>
        <v>1.22</v>
      </c>
      <c r="Y23" s="16">
        <f>W23-X23</f>
        <v>2.1100000000000003</v>
      </c>
      <c r="Z23" s="21">
        <f>B11-B13</f>
        <v>1.3659407897796683E-4</v>
      </c>
      <c r="AA23" s="16">
        <f>I13-I11</f>
        <v>4</v>
      </c>
      <c r="AB23" s="22">
        <f>AA23/Y23-1</f>
        <v>0.89573459715639792</v>
      </c>
    </row>
    <row r="24" spans="1:35" x14ac:dyDescent="0.25">
      <c r="A24" s="26">
        <f>bsm_vega($B$1,$I24,$I18,$B$3,$D$3,$D$1)/100</f>
        <v>0.1623255161026966</v>
      </c>
      <c r="B24" s="26">
        <f>bsm_theta($B$1,$I24,$I18,$B$3,$D$3,$D$1,"call")/365</f>
        <v>-2.9414255293743342E-2</v>
      </c>
      <c r="C24" s="26">
        <f>bsm_gamma($B$1,$I24,$I18,$B$3,$D$3,$D$1)*100</f>
        <v>4.8697654830808981</v>
      </c>
      <c r="D24" s="26"/>
      <c r="E24" s="37">
        <f>bsm_delta($B$1,$I24,$I18,$B$3,$D$3,$D$1,"call")*100</f>
        <v>53.253734417894137</v>
      </c>
      <c r="F24" s="37">
        <f t="shared" si="8"/>
        <v>3.22</v>
      </c>
      <c r="G24" s="37">
        <f t="shared" si="9"/>
        <v>3.2399999999999998</v>
      </c>
      <c r="H24" s="38">
        <f>ROUND(bsm($B$1,$I24,$I18,$B$3,$D$3,$T24/100,"call"), 2)</f>
        <v>3.23</v>
      </c>
      <c r="I24" s="37">
        <v>100</v>
      </c>
      <c r="J24" s="38">
        <f>ROUND(bsm($B$1,$I24,$I18,$B$3,$D$3,$T24/100,"put"), 2)</f>
        <v>2.89</v>
      </c>
      <c r="K24" s="37">
        <f t="shared" si="10"/>
        <v>2.8800000000000003</v>
      </c>
      <c r="L24" s="37">
        <f t="shared" si="11"/>
        <v>2.9</v>
      </c>
      <c r="M24" s="37">
        <f>bsm_delta($B$1,$I24,$I18,$B$3,$D$3,$D$1,"put")*100</f>
        <v>-46.746265582105863</v>
      </c>
      <c r="N24" s="39">
        <f>bsm_gamma($B$1,$I24,$I18,$B$3,$D$3,$D$1)*100</f>
        <v>4.8697654830808981</v>
      </c>
      <c r="O24" s="37">
        <f>bsm_theta($B$1,$I24,$I18,$B$3,$D$3,$D$1,"put")/365</f>
        <v>-2.3953037671526775E-2</v>
      </c>
      <c r="P24" s="39">
        <f>bsm_vega($B$1,$I24,$I18,$B$3,$D$3,$D$1)/100</f>
        <v>0.1623255161026966</v>
      </c>
      <c r="Q24" s="37">
        <f t="shared" si="12"/>
        <v>6.12</v>
      </c>
      <c r="R24" s="37">
        <f t="shared" si="13"/>
        <v>6.1000000000000005</v>
      </c>
      <c r="S24" s="37">
        <f t="shared" si="14"/>
        <v>6.14</v>
      </c>
      <c r="T24" s="38">
        <f t="shared" si="7"/>
        <v>18.8</v>
      </c>
    </row>
    <row r="25" spans="1:35" x14ac:dyDescent="0.25">
      <c r="A25" s="15">
        <f>bsm_vega($B$1,$I25,$I18,$B$3,$D$3,$D$1)/100</f>
        <v>0.16077333269440203</v>
      </c>
      <c r="B25" s="15">
        <f>bsm_theta($B$1,$I25,$I18,$B$3,$D$3,$D$1,"call")/365</f>
        <v>-2.8679977194622612E-2</v>
      </c>
      <c r="C25" s="15">
        <f>bsm_gamma($B$1,$I25,$I18,$B$3,$D$3,$D$1)*100</f>
        <v>4.8231999808320607</v>
      </c>
      <c r="D25" s="15"/>
      <c r="E25" s="33">
        <f>bsm_delta($B$1,$I25,$I18,$B$3,$D$3,$D$1,"call")*100</f>
        <v>43.609316814780627</v>
      </c>
      <c r="F25" s="33">
        <f t="shared" si="8"/>
        <v>2.2200000000000002</v>
      </c>
      <c r="G25" s="33">
        <f t="shared" si="9"/>
        <v>2.2399999999999998</v>
      </c>
      <c r="H25" s="33">
        <f>ROUND(bsm($B$1,$I25,$I18,$B$3,$D$3,$T25/100,"call"), 2)</f>
        <v>2.23</v>
      </c>
      <c r="I25" s="33">
        <v>102</v>
      </c>
      <c r="J25" s="33">
        <f>ROUND(bsm($B$1,$I25,$I18,$B$3,$D$3,$T25/100,"put"), 2)</f>
        <v>3.89</v>
      </c>
      <c r="K25" s="33">
        <f t="shared" si="10"/>
        <v>3.8800000000000003</v>
      </c>
      <c r="L25" s="33">
        <f t="shared" si="11"/>
        <v>3.9</v>
      </c>
      <c r="M25" s="33">
        <f>bsm_delta($B$1,$I25,$I18,$B$3,$D$3,$D$1,"put")*100</f>
        <v>-56.390683185219373</v>
      </c>
      <c r="N25" s="34">
        <f>bsm_gamma($B$1,$I25,$I18,$B$3,$D$3,$D$1)*100</f>
        <v>4.8231999808320607</v>
      </c>
      <c r="O25" s="33">
        <f>bsm_theta($B$1,$I25,$I18,$B$3,$D$3,$D$1,"put")/365</f>
        <v>-2.3109535219961716E-2</v>
      </c>
      <c r="P25" s="34">
        <f>bsm_vega($B$1,$I25,$I18,$B$3,$D$3,$D$1)/100</f>
        <v>0.16077333269440203</v>
      </c>
      <c r="Q25" s="33">
        <f t="shared" si="12"/>
        <v>6.12</v>
      </c>
      <c r="R25" s="33">
        <f t="shared" si="13"/>
        <v>6.1000000000000005</v>
      </c>
      <c r="S25" s="33">
        <f t="shared" si="14"/>
        <v>6.14</v>
      </c>
      <c r="T25" s="33">
        <f t="shared" si="7"/>
        <v>18.2</v>
      </c>
      <c r="V25" t="s">
        <v>73</v>
      </c>
    </row>
    <row r="26" spans="1:35" x14ac:dyDescent="0.25">
      <c r="A26" s="15">
        <f>bsm_vega($B$1,$I26,$I18,$B$3,$D$3,$D$1)/100</f>
        <v>0.14257352520910779</v>
      </c>
      <c r="B26" s="15">
        <f>bsm_theta($B$1,$I26,$I18,$B$3,$D$3,$D$1,"call")/365</f>
        <v>-2.5014062900054097E-2</v>
      </c>
      <c r="C26" s="15">
        <f>bsm_gamma($B$1,$I26,$I18,$B$3,$D$3,$D$1)*100</f>
        <v>4.2772057562732329</v>
      </c>
      <c r="D26" s="15"/>
      <c r="E26" s="33">
        <f>bsm_delta($B$1,$I26,$I18,$B$3,$D$3,$D$1,"call")*100</f>
        <v>30.296024980718851</v>
      </c>
      <c r="F26" s="33">
        <f t="shared" si="8"/>
        <v>1.1399999999999999</v>
      </c>
      <c r="G26" s="33">
        <f t="shared" si="9"/>
        <v>1.1599999999999999</v>
      </c>
      <c r="H26" s="33">
        <f>ROUND(bsm($B$1,$I26,$I18,$B$3,$D$3,$T26/100,"call"), 2)</f>
        <v>1.1499999999999999</v>
      </c>
      <c r="I26" s="33">
        <v>105</v>
      </c>
      <c r="J26" s="33">
        <f>ROUND(bsm($B$1,$I26,$I18,$B$3,$D$3,$T26/100,"put"), 2)</f>
        <v>5.8</v>
      </c>
      <c r="K26" s="33">
        <f t="shared" si="10"/>
        <v>5.79</v>
      </c>
      <c r="L26" s="33">
        <f t="shared" si="11"/>
        <v>5.81</v>
      </c>
      <c r="M26" s="33">
        <f>bsm_delta($B$1,$I26,$I18,$B$3,$D$3,$D$1,"put")*100</f>
        <v>-69.703975019281145</v>
      </c>
      <c r="N26" s="34">
        <f>bsm_gamma($B$1,$I26,$I18,$B$3,$D$3,$D$1)*100</f>
        <v>4.2772057562732329</v>
      </c>
      <c r="O26" s="33">
        <f>bsm_theta($B$1,$I26,$I18,$B$3,$D$3,$D$1,"put")/365</f>
        <v>-1.9279784396726701E-2</v>
      </c>
      <c r="P26" s="34">
        <f>bsm_vega($B$1,$I26,$I18,$B$3,$D$3,$D$1)/100</f>
        <v>0.14257352520910779</v>
      </c>
      <c r="Q26" s="33">
        <f t="shared" si="12"/>
        <v>6.9499999999999993</v>
      </c>
      <c r="R26" s="33">
        <f t="shared" si="13"/>
        <v>6.93</v>
      </c>
      <c r="S26" s="33">
        <f t="shared" si="14"/>
        <v>6.97</v>
      </c>
      <c r="T26" s="33">
        <f t="shared" si="7"/>
        <v>17.399999999999999</v>
      </c>
      <c r="W26" t="s">
        <v>42</v>
      </c>
      <c r="X26" t="s">
        <v>44</v>
      </c>
      <c r="Y26" t="s">
        <v>58</v>
      </c>
      <c r="Z26" t="s">
        <v>59</v>
      </c>
      <c r="AG26" t="s">
        <v>87</v>
      </c>
    </row>
    <row r="27" spans="1:35" x14ac:dyDescent="0.25">
      <c r="A27" s="15">
        <f>bsm_vega($B$1,$I27,$I18,$B$3,$D$3,$D$1)/100</f>
        <v>0.11243098649300812</v>
      </c>
      <c r="B27" s="15">
        <f>bsm_theta($B$1,$I27,$I18,$B$3,$D$3,$D$1,"call")/365</f>
        <v>-1.9501877956112613E-2</v>
      </c>
      <c r="C27" s="15">
        <f>bsm_gamma($B$1,$I27,$I18,$B$3,$D$3,$D$1)*100</f>
        <v>3.3729295947902438</v>
      </c>
      <c r="D27" s="15"/>
      <c r="E27" s="33">
        <f>bsm_delta($B$1,$I27,$I18,$B$3,$D$3,$D$1,"call")*100</f>
        <v>19.463919488878958</v>
      </c>
      <c r="F27" s="33">
        <f t="shared" si="8"/>
        <v>0.51</v>
      </c>
      <c r="G27" s="33">
        <f t="shared" si="9"/>
        <v>0.53</v>
      </c>
      <c r="H27" s="33">
        <f>ROUND(bsm($B$1,$I27,$I18,$B$3,$D$3,$T27/100,"call"), 2)</f>
        <v>0.52</v>
      </c>
      <c r="I27" s="33">
        <v>108</v>
      </c>
      <c r="J27" s="33">
        <f>ROUND(bsm($B$1,$I27,$I18,$B$3,$D$3,$T27/100,"put"), 2)</f>
        <v>8.16</v>
      </c>
      <c r="K27" s="33">
        <f t="shared" si="10"/>
        <v>8.15</v>
      </c>
      <c r="L27" s="33">
        <f t="shared" si="11"/>
        <v>8.17</v>
      </c>
      <c r="M27" s="33">
        <f>bsm_delta($B$1,$I27,$I18,$B$3,$D$3,$D$1,"put")*100</f>
        <v>-80.536080511121042</v>
      </c>
      <c r="N27" s="34">
        <f>bsm_gamma($B$1,$I27,$I18,$B$3,$D$3,$D$1)*100</f>
        <v>3.3729295947902438</v>
      </c>
      <c r="O27" s="33">
        <f>bsm_theta($B$1,$I27,$I18,$B$3,$D$3,$D$1,"put")/365</f>
        <v>-1.3603762924118719E-2</v>
      </c>
      <c r="P27" s="34">
        <f>bsm_vega($B$1,$I27,$I18,$B$3,$D$3,$D$1)/100</f>
        <v>0.11243098649300812</v>
      </c>
      <c r="Q27" s="33">
        <f t="shared" si="12"/>
        <v>8.68</v>
      </c>
      <c r="R27" s="33">
        <f t="shared" si="13"/>
        <v>8.66</v>
      </c>
      <c r="S27" s="33">
        <f t="shared" si="14"/>
        <v>8.6999999999999993</v>
      </c>
      <c r="T27" s="33">
        <f t="shared" si="7"/>
        <v>16.899999999999999</v>
      </c>
      <c r="W27" s="16">
        <f>H11</f>
        <v>3.33</v>
      </c>
      <c r="X27" s="16">
        <f>H12</f>
        <v>2.13</v>
      </c>
      <c r="Y27" s="16">
        <f>H13</f>
        <v>1.22</v>
      </c>
      <c r="Z27" s="16">
        <f>W27+Y27-X27</f>
        <v>2.42</v>
      </c>
    </row>
    <row r="28" spans="1:35" x14ac:dyDescent="0.25">
      <c r="A28" s="15">
        <f>bsm_vega($B$1,$I28,$I18,$B$3,$D$3,$D$1)/100</f>
        <v>9.0342823108854484E-2</v>
      </c>
      <c r="B28" s="15">
        <f>bsm_theta($B$1,$I28,$I18,$B$3,$D$3,$D$1,"call")/365</f>
        <v>-1.558102688118653E-2</v>
      </c>
      <c r="C28" s="15">
        <f>bsm_gamma($B$1,$I28,$I18,$B$3,$D$3,$D$1)*100</f>
        <v>2.7102846932656339</v>
      </c>
      <c r="D28" s="15"/>
      <c r="E28" s="33">
        <f>bsm_delta($B$1,$I28,$I18,$B$3,$D$3,$D$1,"call")*100</f>
        <v>13.881541209993948</v>
      </c>
      <c r="F28" s="33">
        <f t="shared" si="8"/>
        <v>0.27</v>
      </c>
      <c r="G28" s="33">
        <f t="shared" si="9"/>
        <v>0.29000000000000004</v>
      </c>
      <c r="H28" s="33">
        <f>ROUND(bsm($B$1,$I28,$I18,$B$3,$D$3,$T28/100,"call"), 2)</f>
        <v>0.28000000000000003</v>
      </c>
      <c r="I28" s="33">
        <v>110</v>
      </c>
      <c r="J28" s="33">
        <f>ROUND(bsm($B$1,$I28,$I18,$B$3,$D$3,$T28/100,"put"), 2)</f>
        <v>9.91</v>
      </c>
      <c r="K28" s="33">
        <f t="shared" si="10"/>
        <v>9.9</v>
      </c>
      <c r="L28" s="33">
        <f t="shared" si="11"/>
        <v>9.92</v>
      </c>
      <c r="M28" s="33">
        <f>bsm_delta($B$1,$I28,$I18,$B$3,$D$3,$D$1,"put")*100</f>
        <v>-86.118458790006059</v>
      </c>
      <c r="N28" s="34">
        <f>bsm_gamma($B$1,$I28,$I18,$B$3,$D$3,$D$1)*100</f>
        <v>2.7102846932656339</v>
      </c>
      <c r="O28" s="33">
        <f>bsm_theta($B$1,$I28,$I18,$B$3,$D$3,$D$1,"put")/365</f>
        <v>-9.5736874967483065E-3</v>
      </c>
      <c r="P28" s="34">
        <f>bsm_vega($B$1,$I28,$I18,$B$3,$D$3,$D$1)/100</f>
        <v>9.0342823108854484E-2</v>
      </c>
      <c r="Q28" s="33">
        <f t="shared" si="12"/>
        <v>10.19</v>
      </c>
      <c r="R28" s="33">
        <f t="shared" si="13"/>
        <v>10.17</v>
      </c>
      <c r="S28" s="33">
        <f t="shared" si="14"/>
        <v>10.210000000000001</v>
      </c>
      <c r="T28" s="33">
        <f t="shared" si="7"/>
        <v>16.5</v>
      </c>
      <c r="W28" s="16" t="s">
        <v>74</v>
      </c>
      <c r="X28" s="16"/>
      <c r="Y28" s="16"/>
      <c r="Z28" s="16"/>
    </row>
    <row r="29" spans="1:35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W29" s="16"/>
      <c r="X29" s="16"/>
      <c r="Y29" s="16"/>
      <c r="Z29" s="16"/>
    </row>
    <row r="30" spans="1:35" x14ac:dyDescent="0.25">
      <c r="A30" s="28"/>
      <c r="B30" s="28"/>
      <c r="C30" s="28"/>
      <c r="D30" s="28"/>
      <c r="E30" s="28"/>
      <c r="F30" s="28"/>
      <c r="G30" s="28"/>
      <c r="H30" s="28"/>
      <c r="I30" s="27">
        <f>3/12</f>
        <v>0.25</v>
      </c>
      <c r="J30" s="28"/>
      <c r="K30" s="28"/>
      <c r="L30" s="28"/>
      <c r="M30" s="28"/>
      <c r="N30" s="28"/>
      <c r="O30" s="28"/>
      <c r="P30" s="28"/>
      <c r="Q30" s="42" t="s">
        <v>30</v>
      </c>
      <c r="R30" s="42"/>
      <c r="S30" s="42"/>
      <c r="T30" s="29"/>
      <c r="V30" t="s">
        <v>66</v>
      </c>
      <c r="W30" s="16"/>
      <c r="X30" s="16"/>
      <c r="Y30" s="16"/>
      <c r="Z30" s="16"/>
    </row>
    <row r="31" spans="1:35" ht="16.5" thickBot="1" x14ac:dyDescent="0.3">
      <c r="A31" s="30" t="s">
        <v>25</v>
      </c>
      <c r="B31" s="30" t="s">
        <v>26</v>
      </c>
      <c r="C31" s="30" t="s">
        <v>24</v>
      </c>
      <c r="D31" s="30"/>
      <c r="E31" s="31" t="s">
        <v>23</v>
      </c>
      <c r="F31" s="31" t="s">
        <v>28</v>
      </c>
      <c r="G31" s="31" t="s">
        <v>29</v>
      </c>
      <c r="H31" s="31" t="s">
        <v>22</v>
      </c>
      <c r="I31" s="31" t="s">
        <v>77</v>
      </c>
      <c r="J31" s="31" t="s">
        <v>22</v>
      </c>
      <c r="K31" s="31" t="s">
        <v>28</v>
      </c>
      <c r="L31" s="31" t="s">
        <v>29</v>
      </c>
      <c r="M31" s="31" t="s">
        <v>23</v>
      </c>
      <c r="N31" s="31" t="s">
        <v>24</v>
      </c>
      <c r="O31" s="31" t="s">
        <v>26</v>
      </c>
      <c r="P31" s="31" t="s">
        <v>25</v>
      </c>
      <c r="Q31" s="31" t="s">
        <v>22</v>
      </c>
      <c r="R31" s="31" t="s">
        <v>28</v>
      </c>
      <c r="S31" s="31" t="s">
        <v>29</v>
      </c>
      <c r="T31" s="31" t="s">
        <v>76</v>
      </c>
      <c r="W31" t="s">
        <v>67</v>
      </c>
      <c r="X31" t="s">
        <v>68</v>
      </c>
    </row>
    <row r="32" spans="1:35" x14ac:dyDescent="0.25">
      <c r="A32" s="15">
        <f>bsm_vega($B$1,$I32,$I30,$B$3,$D$3,$D$1)/100</f>
        <v>0.10254145302465205</v>
      </c>
      <c r="B32" s="15">
        <f>bsm_theta($B$1,$I32,$I30,$B$3,$D$3,$D$1,"call")/365</f>
        <v>-1.5427765028592087E-2</v>
      </c>
      <c r="C32" s="15">
        <f>bsm_gamma($B$1,$I32,$I30,$B$3,$D$3,$D$1)*100</f>
        <v>2.0508290604930406</v>
      </c>
      <c r="D32" s="15"/>
      <c r="E32" s="33">
        <f>bsm_delta($B$1,$I32,$I30,$B$3,$D$3,$D$1,"call")*100</f>
        <v>87.566895834158373</v>
      </c>
      <c r="F32" s="33">
        <f>MAX(H32-0.01,0)</f>
        <v>11.46</v>
      </c>
      <c r="G32" s="33">
        <f>H32+0.01</f>
        <v>11.48</v>
      </c>
      <c r="H32" s="33">
        <f>ROUND(bsm($B$1,$I32,$I30,$B$3,$D$3,$T32/100,"call"), 2)</f>
        <v>11.47</v>
      </c>
      <c r="I32" s="33">
        <v>90</v>
      </c>
      <c r="J32" s="33">
        <f>ROUND(bsm($B$1,$I32,$I30,$B$3,$D$3,$T32/100,"put"), 2)</f>
        <v>1.03</v>
      </c>
      <c r="K32" s="33">
        <f>MAX(J32-0.01,0)</f>
        <v>1.02</v>
      </c>
      <c r="L32" s="33">
        <f>J32+0.01</f>
        <v>1.04</v>
      </c>
      <c r="M32" s="33">
        <f>bsm_delta($B$1,$I32,$I30,$B$3,$D$3,$D$1,"put")*100</f>
        <v>-12.433104165841618</v>
      </c>
      <c r="N32" s="36">
        <f>bsm_gamma($B$1,$I32,$I30,$B$3,$D$3,$D$1)*100</f>
        <v>2.0508290604930406</v>
      </c>
      <c r="O32" s="35">
        <f>bsm_theta($B$1,$I32,$I30,$B$3,$D$3,$D$1,"put")/365</f>
        <v>-1.0520854172299407E-2</v>
      </c>
      <c r="P32" s="36">
        <f>bsm_vega($B$1,$I32,$I30,$B$3,$D$3,$D$1)/100</f>
        <v>0.10254145302465205</v>
      </c>
      <c r="Q32" s="35">
        <f>H32+J32</f>
        <v>12.5</v>
      </c>
      <c r="R32" s="35">
        <f>F32+K32</f>
        <v>12.48</v>
      </c>
      <c r="S32" s="35">
        <f>G32+L32</f>
        <v>12.52</v>
      </c>
      <c r="T32" s="33">
        <f>T20+1</f>
        <v>23.4</v>
      </c>
      <c r="U32" s="29"/>
      <c r="W32" s="16">
        <f>Z27/((I12-I11)^2)</f>
        <v>0.60499999999999998</v>
      </c>
      <c r="X32" s="16">
        <f>W32*(I12-I11)</f>
        <v>1.21</v>
      </c>
    </row>
    <row r="33" spans="1:30" x14ac:dyDescent="0.25">
      <c r="A33" s="15">
        <f>bsm_vega($B$1,$I33,$I30,$B$3,$D$3,$D$1)/100</f>
        <v>0.12898076965600808</v>
      </c>
      <c r="B33" s="15">
        <f>bsm_theta($B$1,$I33,$I30,$B$3,$D$3,$D$1,"call")/365</f>
        <v>-1.8136644979168285E-2</v>
      </c>
      <c r="C33" s="15">
        <f>bsm_gamma($B$1,$I33,$I30,$B$3,$D$3,$D$1)*100</f>
        <v>2.5796153931201613</v>
      </c>
      <c r="D33" s="15"/>
      <c r="E33" s="33">
        <f>bsm_delta($B$1,$I33,$I30,$B$3,$D$3,$D$1,"call")*100</f>
        <v>82.480061571273083</v>
      </c>
      <c r="F33" s="33">
        <f t="shared" ref="F33:F40" si="15">MAX(H33-0.01,0)</f>
        <v>9.69</v>
      </c>
      <c r="G33" s="33">
        <f t="shared" ref="G33:G40" si="16">H33+0.01</f>
        <v>9.7099999999999991</v>
      </c>
      <c r="H33" s="33">
        <f>ROUND(bsm($B$1,$I33,$I30,$B$3,$D$3,$T33/100,"call"), 2)</f>
        <v>9.6999999999999993</v>
      </c>
      <c r="I33" s="33">
        <v>92</v>
      </c>
      <c r="J33" s="33">
        <f>ROUND(bsm($B$1,$I33,$I30,$B$3,$D$3,$T33/100,"put"), 2)</f>
        <v>1.24</v>
      </c>
      <c r="K33" s="33">
        <f t="shared" ref="K33:K40" si="17">MAX(J33-0.01,0)</f>
        <v>1.23</v>
      </c>
      <c r="L33" s="33">
        <f t="shared" ref="L33:L40" si="18">J33+0.01</f>
        <v>1.25</v>
      </c>
      <c r="M33" s="33">
        <f>bsm_delta($B$1,$I33,$I30,$B$3,$D$3,$D$1,"put")*100</f>
        <v>-17.51993842872691</v>
      </c>
      <c r="N33" s="36">
        <f>bsm_gamma($B$1,$I33,$I30,$B$3,$D$3,$D$1)*100</f>
        <v>2.5796153931201613</v>
      </c>
      <c r="O33" s="35">
        <f>bsm_theta($B$1,$I33,$I30,$B$3,$D$3,$D$1,"put")/365</f>
        <v>-1.3120691659402434E-2</v>
      </c>
      <c r="P33" s="36">
        <f>bsm_vega($B$1,$I33,$I30,$B$3,$D$3,$D$1)/100</f>
        <v>0.12898076965600808</v>
      </c>
      <c r="Q33" s="35">
        <f t="shared" ref="Q33:Q40" si="19">H33+J33</f>
        <v>10.94</v>
      </c>
      <c r="R33" s="35">
        <f t="shared" ref="R33:R40" si="20">F33+K33</f>
        <v>10.92</v>
      </c>
      <c r="S33" s="35">
        <f t="shared" ref="S33:S40" si="21">G33+L33</f>
        <v>10.959999999999999</v>
      </c>
      <c r="T33" s="33">
        <f t="shared" ref="T33:T40" si="22">T21+1</f>
        <v>21.9</v>
      </c>
      <c r="U33" s="29"/>
      <c r="W33" s="16" t="s">
        <v>69</v>
      </c>
      <c r="X33" s="16"/>
    </row>
    <row r="34" spans="1:30" x14ac:dyDescent="0.25">
      <c r="A34" s="15">
        <f>bsm_vega($B$1,$I34,$I30,$B$3,$D$3,$D$1)/100</f>
        <v>0.16531060657452612</v>
      </c>
      <c r="B34" s="15">
        <f>bsm_theta($B$1,$I34,$I30,$B$3,$D$3,$D$1,"call")/365</f>
        <v>-2.1721179289222028E-2</v>
      </c>
      <c r="C34" s="15">
        <f>bsm_gamma($B$1,$I34,$I30,$B$3,$D$3,$D$1)*100</f>
        <v>3.306212131490522</v>
      </c>
      <c r="D34" s="15"/>
      <c r="E34" s="33">
        <f>bsm_delta($B$1,$I34,$I30,$B$3,$D$3,$D$1,"call")*100</f>
        <v>73.003966041758744</v>
      </c>
      <c r="F34" s="33">
        <f t="shared" si="15"/>
        <v>7.37</v>
      </c>
      <c r="G34" s="33">
        <f t="shared" si="16"/>
        <v>7.39</v>
      </c>
      <c r="H34" s="33">
        <f>ROUND(bsm($B$1,$I34,$I30,$B$3,$D$3,$T34/100,"call"), 2)</f>
        <v>7.38</v>
      </c>
      <c r="I34" s="33">
        <v>95</v>
      </c>
      <c r="J34" s="33">
        <f>ROUND(bsm($B$1,$I34,$I30,$B$3,$D$3,$T34/100,"put"), 2)</f>
        <v>1.91</v>
      </c>
      <c r="K34" s="33">
        <f t="shared" si="17"/>
        <v>1.9</v>
      </c>
      <c r="L34" s="33">
        <f t="shared" si="18"/>
        <v>1.92</v>
      </c>
      <c r="M34" s="33">
        <f>bsm_delta($B$1,$I34,$I30,$B$3,$D$3,$D$1,"put")*100</f>
        <v>-26.996033958241263</v>
      </c>
      <c r="N34" s="36">
        <f>bsm_gamma($B$1,$I34,$I30,$B$3,$D$3,$D$1)*100</f>
        <v>3.306212131490522</v>
      </c>
      <c r="O34" s="35">
        <f>bsm_theta($B$1,$I34,$I30,$B$3,$D$3,$D$1,"put")/365</f>
        <v>-1.6541662274246419E-2</v>
      </c>
      <c r="P34" s="36">
        <f>bsm_vega($B$1,$I34,$I30,$B$3,$D$3,$D$1)/100</f>
        <v>0.16531060657452612</v>
      </c>
      <c r="Q34" s="35">
        <f t="shared" si="19"/>
        <v>9.2899999999999991</v>
      </c>
      <c r="R34" s="35">
        <f t="shared" si="20"/>
        <v>9.27</v>
      </c>
      <c r="S34" s="35">
        <f t="shared" si="21"/>
        <v>9.3099999999999987</v>
      </c>
      <c r="T34" s="33">
        <f t="shared" si="22"/>
        <v>21</v>
      </c>
      <c r="U34" s="29"/>
    </row>
    <row r="35" spans="1:30" x14ac:dyDescent="0.25">
      <c r="A35" s="15">
        <f>bsm_vega($B$1,$I35,$I30,$B$3,$D$3,$D$1)/100</f>
        <v>0.19057758628758475</v>
      </c>
      <c r="B35" s="15">
        <f>bsm_theta($B$1,$I35,$I30,$B$3,$D$3,$D$1,"call")/365</f>
        <v>-2.3984480765307729E-2</v>
      </c>
      <c r="C35" s="15">
        <f>bsm_gamma($B$1,$I35,$I30,$B$3,$D$3,$D$1)*100</f>
        <v>3.8115517257516949</v>
      </c>
      <c r="D35" s="15"/>
      <c r="E35" s="33">
        <f>bsm_delta($B$1,$I35,$I30,$B$3,$D$3,$D$1,"call")*100</f>
        <v>61.868428764760708</v>
      </c>
      <c r="F35" s="33">
        <f t="shared" si="15"/>
        <v>5.33</v>
      </c>
      <c r="G35" s="33">
        <f t="shared" si="16"/>
        <v>5.35</v>
      </c>
      <c r="H35" s="33">
        <f>ROUND(bsm($B$1,$I35,$I30,$B$3,$D$3,$T35/100,"call"), 2)</f>
        <v>5.34</v>
      </c>
      <c r="I35" s="33">
        <v>98</v>
      </c>
      <c r="J35" s="33">
        <f>ROUND(bsm($B$1,$I35,$I30,$B$3,$D$3,$T35/100,"put"), 2)</f>
        <v>2.86</v>
      </c>
      <c r="K35" s="33">
        <f t="shared" si="17"/>
        <v>2.85</v>
      </c>
      <c r="L35" s="33">
        <f t="shared" si="18"/>
        <v>2.8699999999999997</v>
      </c>
      <c r="M35" s="33">
        <f>bsm_delta($B$1,$I35,$I30,$B$3,$D$3,$D$1,"put")*100</f>
        <v>-38.131571235239285</v>
      </c>
      <c r="N35" s="36">
        <f>bsm_gamma($B$1,$I35,$I30,$B$3,$D$3,$D$1)*100</f>
        <v>3.8115517257516949</v>
      </c>
      <c r="O35" s="35">
        <f>bsm_theta($B$1,$I35,$I30,$B$3,$D$3,$D$1,"put")/365</f>
        <v>-1.8641400055122367E-2</v>
      </c>
      <c r="P35" s="36">
        <f>bsm_vega($B$1,$I35,$I30,$B$3,$D$3,$D$1)/100</f>
        <v>0.19057758628758475</v>
      </c>
      <c r="Q35" s="35">
        <f t="shared" si="19"/>
        <v>8.1999999999999993</v>
      </c>
      <c r="R35" s="35">
        <f t="shared" si="20"/>
        <v>8.18</v>
      </c>
      <c r="S35" s="35">
        <f t="shared" si="21"/>
        <v>8.2199999999999989</v>
      </c>
      <c r="T35" s="33">
        <f t="shared" si="22"/>
        <v>20.2</v>
      </c>
      <c r="V35" t="s">
        <v>60</v>
      </c>
    </row>
    <row r="36" spans="1:30" x14ac:dyDescent="0.25">
      <c r="A36" s="26">
        <f>bsm_vega($B$1,$I36,$I30,$B$3,$D$3,$D$1)/100</f>
        <v>0.19847627373850588</v>
      </c>
      <c r="B36" s="26">
        <f>bsm_theta($B$1,$I36,$I30,$B$3,$D$3,$D$1,"call")/365</f>
        <v>-2.4476886106117583E-2</v>
      </c>
      <c r="C36" s="26">
        <f>bsm_gamma($B$1,$I36,$I30,$B$3,$D$3,$D$1)*100</f>
        <v>3.9695254747701179</v>
      </c>
      <c r="D36" s="26"/>
      <c r="E36" s="37">
        <f>bsm_delta($B$1,$I36,$I30,$B$3,$D$3,$D$1,"call")*100</f>
        <v>53.982783727702902</v>
      </c>
      <c r="F36" s="37">
        <f t="shared" si="15"/>
        <v>4.1800000000000006</v>
      </c>
      <c r="G36" s="37">
        <f t="shared" si="16"/>
        <v>4.2</v>
      </c>
      <c r="H36" s="38">
        <f>ROUND(bsm($B$1,$I36,$I30,$B$3,$D$3,$T36/100,"call"), 2)</f>
        <v>4.1900000000000004</v>
      </c>
      <c r="I36" s="37">
        <v>100</v>
      </c>
      <c r="J36" s="38">
        <f>ROUND(bsm($B$1,$I36,$I30,$B$3,$D$3,$T36/100,"put"), 2)</f>
        <v>3.69</v>
      </c>
      <c r="K36" s="37">
        <f t="shared" si="17"/>
        <v>3.68</v>
      </c>
      <c r="L36" s="37">
        <f t="shared" si="18"/>
        <v>3.6999999999999997</v>
      </c>
      <c r="M36" s="37">
        <f>bsm_delta($B$1,$I36,$I30,$B$3,$D$3,$D$1,"put")*100</f>
        <v>-46.017216272297098</v>
      </c>
      <c r="N36" s="40">
        <f>bsm_gamma($B$1,$I36,$I30,$B$3,$D$3,$D$1)*100</f>
        <v>3.9695254747701179</v>
      </c>
      <c r="O36" s="41">
        <f>bsm_theta($B$1,$I36,$I30,$B$3,$D$3,$D$1,"put")/365</f>
        <v>-1.9024762932459052E-2</v>
      </c>
      <c r="P36" s="40">
        <f>bsm_vega($B$1,$I36,$I30,$B$3,$D$3,$D$1)/100</f>
        <v>0.19847627373850588</v>
      </c>
      <c r="Q36" s="41">
        <f t="shared" si="19"/>
        <v>7.8800000000000008</v>
      </c>
      <c r="R36" s="41">
        <f t="shared" si="20"/>
        <v>7.8600000000000012</v>
      </c>
      <c r="S36" s="41">
        <f t="shared" si="21"/>
        <v>7.9</v>
      </c>
      <c r="T36" s="38">
        <f t="shared" si="22"/>
        <v>19.8</v>
      </c>
      <c r="W36" s="16" t="s">
        <v>43</v>
      </c>
      <c r="X36" s="16" t="s">
        <v>45</v>
      </c>
      <c r="Y36" s="16" t="s">
        <v>58</v>
      </c>
      <c r="Z36" s="16" t="s">
        <v>61</v>
      </c>
      <c r="AA36" s="16" t="s">
        <v>62</v>
      </c>
    </row>
    <row r="37" spans="1:30" x14ac:dyDescent="0.25">
      <c r="A37" s="15">
        <f>bsm_vega($B$1,$I37,$I30,$B$3,$D$3,$D$1)/100</f>
        <v>0.19851506473560851</v>
      </c>
      <c r="B37" s="15">
        <f>bsm_theta($B$1,$I37,$I30,$B$3,$D$3,$D$1,"call")/365</f>
        <v>-2.4099175049773994E-2</v>
      </c>
      <c r="C37" s="15">
        <f>bsm_gamma($B$1,$I37,$I30,$B$3,$D$3,$D$1)*100</f>
        <v>3.9703012947121703</v>
      </c>
      <c r="D37" s="15"/>
      <c r="E37" s="33">
        <f>bsm_delta($B$1,$I37,$I30,$B$3,$D$3,$D$1,"call")*100</f>
        <v>46.095571551352307</v>
      </c>
      <c r="F37" s="33">
        <f t="shared" si="15"/>
        <v>3.1500000000000004</v>
      </c>
      <c r="G37" s="33">
        <f t="shared" si="16"/>
        <v>3.17</v>
      </c>
      <c r="H37" s="33">
        <f>ROUND(bsm($B$1,$I37,$I30,$B$3,$D$3,$T37/100,"call"), 2)</f>
        <v>3.16</v>
      </c>
      <c r="I37" s="33">
        <v>102</v>
      </c>
      <c r="J37" s="33">
        <f>ROUND(bsm($B$1,$I37,$I30,$B$3,$D$3,$T37/100,"put"), 2)</f>
        <v>4.6500000000000004</v>
      </c>
      <c r="K37" s="33">
        <f t="shared" si="17"/>
        <v>4.6400000000000006</v>
      </c>
      <c r="L37" s="33">
        <f t="shared" si="18"/>
        <v>4.66</v>
      </c>
      <c r="M37" s="33">
        <f>bsm_delta($B$1,$I37,$I30,$B$3,$D$3,$D$1,"put")*100</f>
        <v>-53.904428448647693</v>
      </c>
      <c r="N37" s="36">
        <f>bsm_gamma($B$1,$I37,$I30,$B$3,$D$3,$D$1)*100</f>
        <v>3.9703012947121703</v>
      </c>
      <c r="O37" s="35">
        <f>bsm_theta($B$1,$I37,$I30,$B$3,$D$3,$D$1,"put")/365</f>
        <v>-1.853800941264229E-2</v>
      </c>
      <c r="P37" s="36">
        <f>bsm_vega($B$1,$I37,$I30,$B$3,$D$3,$D$1)/100</f>
        <v>0.19851506473560851</v>
      </c>
      <c r="Q37" s="35">
        <f t="shared" si="19"/>
        <v>7.8100000000000005</v>
      </c>
      <c r="R37" s="35">
        <f t="shared" si="20"/>
        <v>7.7900000000000009</v>
      </c>
      <c r="S37" s="35">
        <f t="shared" si="21"/>
        <v>7.83</v>
      </c>
      <c r="T37" s="33">
        <f t="shared" si="22"/>
        <v>19.2</v>
      </c>
      <c r="W37" s="16">
        <f>J10</f>
        <v>0.47</v>
      </c>
      <c r="X37" s="16">
        <f>J11</f>
        <v>1.17</v>
      </c>
      <c r="Y37" s="16">
        <f>H13</f>
        <v>1.22</v>
      </c>
      <c r="Z37" s="16">
        <f>H14</f>
        <v>0.41</v>
      </c>
      <c r="AA37" s="16">
        <f>X37+Y37-W37-Z37</f>
        <v>1.5099999999999998</v>
      </c>
    </row>
    <row r="38" spans="1:30" x14ac:dyDescent="0.25">
      <c r="A38" s="15">
        <f>bsm_vega($B$1,$I38,$I30,$B$3,$D$3,$D$1)/100</f>
        <v>0.18501478178056655</v>
      </c>
      <c r="B38" s="15">
        <f>bsm_theta($B$1,$I38,$I30,$B$3,$D$3,$D$1,"call")/365</f>
        <v>-2.2066343708416553E-2</v>
      </c>
      <c r="C38" s="15">
        <f>bsm_gamma($B$1,$I38,$I30,$B$3,$D$3,$D$1)*100</f>
        <v>3.7002956356113308</v>
      </c>
      <c r="D38" s="15"/>
      <c r="E38" s="33">
        <f>bsm_delta($B$1,$I38,$I30,$B$3,$D$3,$D$1,"call")*100</f>
        <v>34.904441158813967</v>
      </c>
      <c r="F38" s="33">
        <f t="shared" si="15"/>
        <v>1.92</v>
      </c>
      <c r="G38" s="33">
        <f t="shared" si="16"/>
        <v>1.94</v>
      </c>
      <c r="H38" s="33">
        <f>ROUND(bsm($B$1,$I38,$I30,$B$3,$D$3,$T38/100,"call"), 2)</f>
        <v>1.93</v>
      </c>
      <c r="I38" s="33">
        <v>105</v>
      </c>
      <c r="J38" s="33">
        <f>ROUND(bsm($B$1,$I38,$I30,$B$3,$D$3,$T38/100,"put"), 2)</f>
        <v>6.41</v>
      </c>
      <c r="K38" s="33">
        <f t="shared" si="17"/>
        <v>6.4</v>
      </c>
      <c r="L38" s="33">
        <f t="shared" si="18"/>
        <v>6.42</v>
      </c>
      <c r="M38" s="33">
        <f>bsm_delta($B$1,$I38,$I30,$B$3,$D$3,$D$1,"put")*100</f>
        <v>-65.095558841186033</v>
      </c>
      <c r="N38" s="36">
        <f>bsm_gamma($B$1,$I38,$I30,$B$3,$D$3,$D$1)*100</f>
        <v>3.7002956356113308</v>
      </c>
      <c r="O38" s="35">
        <f>bsm_theta($B$1,$I38,$I30,$B$3,$D$3,$D$1,"put")/365</f>
        <v>-1.6341614376075089E-2</v>
      </c>
      <c r="P38" s="36">
        <f>bsm_vega($B$1,$I38,$I30,$B$3,$D$3,$D$1)/100</f>
        <v>0.18501478178056655</v>
      </c>
      <c r="Q38" s="35">
        <f t="shared" si="19"/>
        <v>8.34</v>
      </c>
      <c r="R38" s="35">
        <f t="shared" si="20"/>
        <v>8.32</v>
      </c>
      <c r="S38" s="35">
        <f t="shared" si="21"/>
        <v>8.36</v>
      </c>
      <c r="T38" s="33">
        <f t="shared" si="22"/>
        <v>18.399999999999999</v>
      </c>
    </row>
    <row r="39" spans="1:30" x14ac:dyDescent="0.25">
      <c r="A39" s="15">
        <f>bsm_vega($B$1,$I39,$I30,$B$3,$D$3,$D$1)/100</f>
        <v>0.15941016165302055</v>
      </c>
      <c r="B39" s="15">
        <f>bsm_theta($B$1,$I39,$I30,$B$3,$D$3,$D$1,"call")/365</f>
        <v>-1.8769538791066822E-2</v>
      </c>
      <c r="C39" s="15">
        <f>bsm_gamma($B$1,$I39,$I30,$B$3,$D$3,$D$1)*100</f>
        <v>3.1882032330604106</v>
      </c>
      <c r="D39" s="15"/>
      <c r="E39" s="33">
        <f>bsm_delta($B$1,$I39,$I30,$B$3,$D$3,$D$1,"call")*100</f>
        <v>25.155308766799578</v>
      </c>
      <c r="F39" s="33">
        <f t="shared" si="15"/>
        <v>1.1000000000000001</v>
      </c>
      <c r="G39" s="33">
        <f t="shared" si="16"/>
        <v>1.1200000000000001</v>
      </c>
      <c r="H39" s="33">
        <f>ROUND(bsm($B$1,$I39,$I30,$B$3,$D$3,$T39/100,"call"), 2)</f>
        <v>1.1100000000000001</v>
      </c>
      <c r="I39" s="33">
        <v>108</v>
      </c>
      <c r="J39" s="33">
        <f>ROUND(bsm($B$1,$I39,$I30,$B$3,$D$3,$T39/100,"put"), 2)</f>
        <v>8.57</v>
      </c>
      <c r="K39" s="33">
        <f t="shared" si="17"/>
        <v>8.56</v>
      </c>
      <c r="L39" s="33">
        <f t="shared" si="18"/>
        <v>8.58</v>
      </c>
      <c r="M39" s="33">
        <f>bsm_delta($B$1,$I39,$I30,$B$3,$D$3,$D$1,"put")*100</f>
        <v>-74.844691233200422</v>
      </c>
      <c r="N39" s="36">
        <f>bsm_gamma($B$1,$I39,$I30,$B$3,$D$3,$D$1)*100</f>
        <v>3.1882032330604106</v>
      </c>
      <c r="O39" s="35">
        <f>bsm_theta($B$1,$I39,$I30,$B$3,$D$3,$D$1,"put")/365</f>
        <v>-1.2881245763515608E-2</v>
      </c>
      <c r="P39" s="36">
        <f>bsm_vega($B$1,$I39,$I30,$B$3,$D$3,$D$1)/100</f>
        <v>0.15941016165302055</v>
      </c>
      <c r="Q39" s="35">
        <f t="shared" si="19"/>
        <v>9.68</v>
      </c>
      <c r="R39" s="35">
        <f t="shared" si="20"/>
        <v>9.66</v>
      </c>
      <c r="S39" s="35">
        <f t="shared" si="21"/>
        <v>9.6999999999999993</v>
      </c>
      <c r="T39" s="33">
        <f t="shared" si="22"/>
        <v>17.899999999999999</v>
      </c>
      <c r="V39" t="s">
        <v>72</v>
      </c>
    </row>
    <row r="40" spans="1:30" x14ac:dyDescent="0.25">
      <c r="A40" s="15">
        <f>bsm_vega($B$1,$I40,$I30,$B$3,$D$3,$D$1)/100</f>
        <v>0.13862580134279809</v>
      </c>
      <c r="B40" s="15">
        <f>bsm_theta($B$1,$I40,$I30,$B$3,$D$3,$D$1,"call")/365</f>
        <v>-1.6213030442011805E-2</v>
      </c>
      <c r="C40" s="15">
        <f>bsm_gamma($B$1,$I40,$I30,$B$3,$D$3,$D$1)*100</f>
        <v>2.7725160268559619</v>
      </c>
      <c r="D40" s="15"/>
      <c r="E40" s="33">
        <f>bsm_delta($B$1,$I40,$I30,$B$3,$D$3,$D$1,"call")*100</f>
        <v>19.680142720564941</v>
      </c>
      <c r="F40" s="33">
        <f t="shared" si="15"/>
        <v>0.71</v>
      </c>
      <c r="G40" s="33">
        <f t="shared" si="16"/>
        <v>0.73</v>
      </c>
      <c r="H40" s="33">
        <f>ROUND(bsm($B$1,$I40,$I30,$B$3,$D$3,$T40/100,"call"), 2)</f>
        <v>0.72</v>
      </c>
      <c r="I40" s="33">
        <v>110</v>
      </c>
      <c r="J40" s="33">
        <f>ROUND(bsm($B$1,$I40,$I30,$B$3,$D$3,$T40/100,"put"), 2)</f>
        <v>10.17</v>
      </c>
      <c r="K40" s="33">
        <f t="shared" si="17"/>
        <v>10.16</v>
      </c>
      <c r="L40" s="33">
        <f t="shared" si="18"/>
        <v>10.18</v>
      </c>
      <c r="M40" s="33">
        <f>bsm_delta($B$1,$I40,$I30,$B$3,$D$3,$D$1,"put")*100</f>
        <v>-80.319857279435055</v>
      </c>
      <c r="N40" s="36">
        <f>bsm_gamma($B$1,$I40,$I30,$B$3,$D$3,$D$1)*100</f>
        <v>2.7725160268559619</v>
      </c>
      <c r="O40" s="35">
        <f>bsm_theta($B$1,$I40,$I30,$B$3,$D$3,$D$1,"put")/365</f>
        <v>-1.0215694950987416E-2</v>
      </c>
      <c r="P40" s="36">
        <f>bsm_vega($B$1,$I40,$I30,$B$3,$D$3,$D$1)/100</f>
        <v>0.13862580134279809</v>
      </c>
      <c r="Q40" s="35">
        <f t="shared" si="19"/>
        <v>10.89</v>
      </c>
      <c r="R40" s="35">
        <f t="shared" si="20"/>
        <v>10.870000000000001</v>
      </c>
      <c r="S40" s="35">
        <f t="shared" si="21"/>
        <v>10.91</v>
      </c>
      <c r="T40" s="33">
        <f t="shared" si="22"/>
        <v>17.5</v>
      </c>
      <c r="W40" s="16" t="s">
        <v>42</v>
      </c>
      <c r="X40" s="16" t="s">
        <v>44</v>
      </c>
      <c r="Y40" s="16" t="s">
        <v>43</v>
      </c>
      <c r="Z40" s="16" t="s">
        <v>45</v>
      </c>
      <c r="AA40" s="16" t="s">
        <v>63</v>
      </c>
      <c r="AB40" s="16" t="s">
        <v>47</v>
      </c>
      <c r="AC40" s="16" t="s">
        <v>64</v>
      </c>
      <c r="AD40" s="16" t="s">
        <v>65</v>
      </c>
    </row>
    <row r="41" spans="1:30" x14ac:dyDescent="0.25">
      <c r="W41" s="16">
        <f>H11</f>
        <v>3.33</v>
      </c>
      <c r="X41" s="16">
        <f>H23</f>
        <v>4.3899999999999997</v>
      </c>
      <c r="Y41" s="16">
        <f>J11</f>
        <v>1.17</v>
      </c>
      <c r="Z41" s="16">
        <f>J23</f>
        <v>2.0699999999999998</v>
      </c>
      <c r="AA41" s="17">
        <f>X41-W41</f>
        <v>1.0599999999999996</v>
      </c>
      <c r="AB41" s="16">
        <f>Z41-Y41</f>
        <v>0.89999999999999991</v>
      </c>
      <c r="AC41">
        <f>I23*B3*(I18-H6)</f>
        <v>0.16333333333333333</v>
      </c>
      <c r="AD41" s="23">
        <f>AB41+AC41</f>
        <v>1.0633333333333332</v>
      </c>
    </row>
  </sheetData>
  <mergeCells count="3">
    <mergeCell ref="P6:R6"/>
    <mergeCell ref="Q18:S18"/>
    <mergeCell ref="Q30:S30"/>
  </mergeCells>
  <pageMargins left="0.75" right="0.75" top="1" bottom="1" header="0.5" footer="0.5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5" sqref="E5"/>
    </sheetView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9</v>
      </c>
    </row>
    <row r="4" spans="1:2" x14ac:dyDescent="0.25">
      <c r="A4" s="1" t="s">
        <v>10</v>
      </c>
    </row>
    <row r="5" spans="1:2" x14ac:dyDescent="0.25">
      <c r="A5" s="1" t="s">
        <v>2</v>
      </c>
      <c r="B5" s="1" t="s">
        <v>27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</row>
    <row r="8" spans="1:2" x14ac:dyDescent="0.25">
      <c r="A8" s="1" t="s">
        <v>5</v>
      </c>
      <c r="B8" s="1" t="b">
        <v>0</v>
      </c>
    </row>
    <row r="13" spans="1:2" x14ac:dyDescent="0.25">
      <c r="A13" s="2" t="s">
        <v>7</v>
      </c>
    </row>
    <row r="14" spans="1:2" x14ac:dyDescent="0.25">
      <c r="A14" s="1" t="s">
        <v>11</v>
      </c>
    </row>
    <row r="15" spans="1:2" x14ac:dyDescent="0.25">
      <c r="A15" s="1" t="s">
        <v>12</v>
      </c>
    </row>
    <row r="16" spans="1:2" x14ac:dyDescent="0.25">
      <c r="A16" s="1" t="s">
        <v>8</v>
      </c>
    </row>
    <row r="17" spans="1:1" x14ac:dyDescent="0.2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Strategy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Letian</cp:lastModifiedBy>
  <dcterms:created xsi:type="dcterms:W3CDTF">2015-01-25T11:31:25Z</dcterms:created>
  <dcterms:modified xsi:type="dcterms:W3CDTF">2021-01-31T22:25:20Z</dcterms:modified>
</cp:coreProperties>
</file>