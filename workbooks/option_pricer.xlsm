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DADBF043-D10B-46AF-BE48-BB2F74584B90}" xr6:coauthVersionLast="46" xr6:coauthVersionMax="46" xr10:uidLastSave="{00000000-0000-0000-0000-000000000000}"/>
  <bookViews>
    <workbookView xWindow="-120" yWindow="-120" windowWidth="38640" windowHeight="15840" tabRatio="500" xr2:uid="{00000000-000D-0000-FFFF-FFFF00000000}"/>
  </bookViews>
  <sheets>
    <sheet name="BSM" sheetId="1" r:id="rId1"/>
    <sheet name="Black76" sheetId="4" r:id="rId2"/>
    <sheet name="_xlwings.conf" sheetId="2" r:id="rId3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23" i="1" l="1"/>
  <c r="AA22" i="1"/>
  <c r="B11" i="1"/>
  <c r="D11" i="1"/>
  <c r="K4" i="1"/>
  <c r="C10" i="1"/>
  <c r="B10" i="1"/>
  <c r="B7" i="1"/>
  <c r="F2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C19" i="1"/>
  <c r="D19" i="1"/>
  <c r="B19" i="1"/>
  <c r="G12" i="4"/>
  <c r="F12" i="4"/>
  <c r="G14" i="4"/>
  <c r="F14" i="4"/>
  <c r="G13" i="4"/>
  <c r="F13" i="4"/>
  <c r="G11" i="4"/>
  <c r="F11" i="4"/>
  <c r="G10" i="4"/>
  <c r="F10" i="4"/>
  <c r="G9" i="4"/>
  <c r="F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D19" i="4"/>
  <c r="C19" i="4"/>
  <c r="B19" i="4"/>
  <c r="B7" i="4"/>
  <c r="B8" i="4"/>
  <c r="H8" i="4"/>
  <c r="G8" i="4"/>
  <c r="F8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C7" i="4"/>
  <c r="I14" i="4"/>
  <c r="H14" i="4"/>
  <c r="E14" i="4"/>
  <c r="D14" i="4"/>
  <c r="I13" i="4"/>
  <c r="H13" i="4"/>
  <c r="E13" i="4"/>
  <c r="D13" i="4"/>
  <c r="I12" i="4"/>
  <c r="H12" i="4"/>
  <c r="E12" i="4"/>
  <c r="D12" i="4"/>
  <c r="I11" i="4"/>
  <c r="H11" i="4"/>
  <c r="E11" i="4"/>
  <c r="D11" i="4"/>
  <c r="I10" i="4"/>
  <c r="H10" i="4"/>
  <c r="E10" i="4"/>
  <c r="D10" i="4"/>
  <c r="I9" i="4"/>
  <c r="H9" i="4"/>
  <c r="E9" i="4"/>
  <c r="D9" i="4"/>
  <c r="I8" i="4"/>
  <c r="E8" i="4"/>
  <c r="D8" i="4"/>
  <c r="E7" i="4"/>
  <c r="D7" i="4"/>
  <c r="G14" i="1"/>
  <c r="F14" i="1"/>
  <c r="C14" i="1"/>
  <c r="I14" i="1"/>
  <c r="B14" i="1"/>
  <c r="H14" i="1"/>
  <c r="D14" i="1"/>
  <c r="E14" i="1"/>
  <c r="C8" i="1"/>
  <c r="C13" i="1"/>
  <c r="I13" i="1"/>
  <c r="E13" i="1"/>
  <c r="B13" i="1"/>
  <c r="D13" i="1"/>
  <c r="B8" i="1"/>
  <c r="H13" i="1"/>
  <c r="G13" i="1"/>
  <c r="F13" i="1"/>
  <c r="C12" i="1"/>
  <c r="E12" i="1"/>
  <c r="B12" i="1"/>
  <c r="D12" i="1"/>
  <c r="C7" i="1"/>
  <c r="I12" i="1"/>
  <c r="H12" i="1"/>
  <c r="G12" i="1"/>
  <c r="F12" i="1"/>
  <c r="C11" i="1"/>
  <c r="E11" i="1"/>
  <c r="I11" i="1"/>
  <c r="H11" i="1"/>
  <c r="G11" i="1"/>
  <c r="F11" i="1"/>
  <c r="E10" i="1"/>
  <c r="D10" i="1"/>
  <c r="F10" i="1"/>
  <c r="I10" i="1"/>
  <c r="H10" i="1"/>
  <c r="G10" i="1"/>
  <c r="C9" i="1"/>
  <c r="I9" i="1"/>
  <c r="B9" i="1"/>
  <c r="H9" i="1"/>
  <c r="G9" i="1"/>
  <c r="F9" i="1"/>
  <c r="I8" i="1"/>
  <c r="H8" i="1"/>
  <c r="G8" i="1"/>
  <c r="F8" i="1"/>
  <c r="E9" i="1"/>
  <c r="D9" i="1"/>
  <c r="E8" i="1"/>
  <c r="D8" i="1"/>
  <c r="E7" i="1"/>
  <c r="D7" i="1"/>
</calcChain>
</file>

<file path=xl/sharedStrings.xml><?xml version="1.0" encoding="utf-8"?>
<sst xmlns="http://schemas.openxmlformats.org/spreadsheetml/2006/main" count="95" uniqueCount="61">
  <si>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</si>
  <si>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</si>
  <si>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</si>
  <si>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</si>
  <si>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</si>
  <si>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</si>
  <si>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</si>
  <si>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</si>
  <si>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</si>
  <si>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</si>
  <si>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</si>
  <si>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</si>
  <si>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</si>
  <si>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</si>
  <si>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</si>
  <si>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</si>
  <si>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</si>
  <si>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</si>
  <si>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</si>
  <si>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</si>
  <si>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</si>
  <si>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</si>
  <si>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</si>
  <si>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</si>
  <si>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</si>
  <si>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</si>
  <si>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</si>
  <si>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Rho</t>
  </si>
  <si>
    <t>Vanna</t>
  </si>
  <si>
    <t>Volga</t>
  </si>
  <si>
    <t>BSM (1973)</t>
  </si>
  <si>
    <t>Underlying</t>
  </si>
  <si>
    <t>original</t>
  </si>
  <si>
    <t>conventional</t>
  </si>
  <si>
    <t>sensitivity from greeks</t>
  </si>
  <si>
    <t>sensitivity from model</t>
  </si>
  <si>
    <t>F</t>
  </si>
  <si>
    <t>* r changes ==&gt; F changes</t>
  </si>
  <si>
    <t>1a. c &gt; 0, p &gt; 0, rights not obligations</t>
  </si>
  <si>
    <t>1b.c &gt; S-K, p &gt; K-S ; intrinstic value + time value</t>
  </si>
  <si>
    <t>1c. c &lt; S, p &lt; K; otherwise sell c buy S and deliver; or sell p, put proceeds in bank, and ready to buy at K</t>
  </si>
  <si>
    <t>2. option price = parity + cost of carry + time value or insurance; as below</t>
  </si>
  <si>
    <t>C insurance in case S falls below K ==&gt; value of P</t>
  </si>
  <si>
    <t>3a. Buy call instead of S to save on interest ==&gt; rho &gt; 0</t>
  </si>
  <si>
    <t>3c. Buy put instead of short S and earn interest ==&gt; rho &lt; 0</t>
  </si>
  <si>
    <t>1sigma, 68.3% tomorrow price between 99~ 101</t>
  </si>
  <si>
    <t>4. S=100, vol = 16% ==&gt; 1% per day</t>
  </si>
  <si>
    <t>2sigma, 95% tomorrow price between 98~ 102</t>
  </si>
  <si>
    <t>3sigma, 99.7% tomorrow price between 97~ 103</t>
  </si>
  <si>
    <t>3b. Buy call instead of S forgoes dividend ==&gt; q increases, C decreases ; also seen from 2a.</t>
  </si>
  <si>
    <t>3d. Buy put instead of short S in order not paying dividend ==&gt; q increases, P increases; also seen from 2b.</t>
  </si>
  <si>
    <t>2c: synthetic, buy (S) write (C) = C-S +K = (r-q)+ P = write P; long stock to earn dividend and pay interest.</t>
  </si>
  <si>
    <t>2d. Synthetic, Buy (S) buy (P) = -S-P+K = (r-q)-C = buy C</t>
  </si>
  <si>
    <t>2e, combo, buy (p) sell (c) = C - P = S - K  + (r-q); avoid paying interest</t>
  </si>
  <si>
    <t xml:space="preserve">      market quotes as C bid - (r-q) = P bid - (S-K) ~ C ask - (r-q) = P ask - (S-K)</t>
  </si>
  <si>
    <t xml:space="preserve">       market quotes synthetic as P bid + (r-q) = C bid - S + K ~  P ask + (r-q) = C ask - S + K</t>
  </si>
  <si>
    <t>2a. C  = (S - K) + (K*r - S*q) + (P) = (S-K) + PV(r-q) + (P)</t>
  </si>
  <si>
    <t>2b. P = (K - S) + (S*q - K*r) + (C) = (K-S) - PV(r-q) + (C)</t>
  </si>
  <si>
    <t xml:space="preserve">       long (short) combo + short (long) stock</t>
  </si>
  <si>
    <r>
      <t xml:space="preserve">      </t>
    </r>
    <r>
      <rPr>
        <b/>
        <sz val="12"/>
        <color theme="1"/>
        <rFont val="Calibri"/>
        <family val="2"/>
        <scheme val="minor"/>
      </rPr>
      <t xml:space="preserve"> box</t>
    </r>
    <r>
      <rPr>
        <sz val="12"/>
        <color theme="1"/>
        <rFont val="Calibri"/>
        <family val="2"/>
        <scheme val="minor"/>
      </rPr>
      <t>: long combo at K1, short combo at K2  = (K2-K1)*r = lend money at risk-free</t>
    </r>
  </si>
  <si>
    <r>
      <t xml:space="preserve">       </t>
    </r>
    <r>
      <rPr>
        <b/>
        <sz val="12"/>
        <color theme="1"/>
        <rFont val="Calibri"/>
        <family val="2"/>
        <scheme val="minor"/>
      </rPr>
      <t>roll</t>
    </r>
    <r>
      <rPr>
        <sz val="12"/>
        <color theme="1"/>
        <rFont val="Calibri"/>
        <family val="2"/>
        <scheme val="minor"/>
      </rPr>
      <t>: long combo T1, short combo T2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</si>
</sst>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%"/>
    <numFmt numFmtId="165" formatCode="0.0000"/>
    <numFmt numFmtId="166" formatCode="0.000"/>
    <numFmt numFmtId="167" formatCode="_(* #,##0.0000_);_(* \(#,##0.0000\);_(* &quot;-&quot;??_);_(@_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2" fillId="2" borderId="0" xfId="0" applyFont="1" applyFill="1"/>
    <xf numFmtId="167" fontId="0" fillId="0" borderId="0" xfId="1" applyNumberFormat="1" applyFont="1"/>
    <xf numFmtId="0" fontId="0" fillId="3" borderId="0" xfId="0" applyFill="1" applyAlignment="1">
      <alignment horizontal="center" vertical="center"/>
    </xf>
    <xf numFmtId="164" fontId="0" fillId="0" borderId="4" xfId="2" applyNumberFormat="1" applyFont="1" applyBorder="1"/>
    <xf numFmtId="164" fontId="0" fillId="0" borderId="5" xfId="2" applyNumberFormat="1" applyFont="1" applyBorder="1"/>
    <xf numFmtId="166" fontId="0" fillId="0" borderId="4" xfId="0" applyNumberFormat="1" applyBorder="1"/>
    <xf numFmtId="166" fontId="0" fillId="0" borderId="5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0" fontId="0" fillId="0" borderId="4" xfId="0" applyBorder="1"/>
    <xf numFmtId="0" fontId="0" fillId="0" borderId="6" xfId="0" applyBorder="1"/>
    <xf numFmtId="0" fontId="1" fillId="3" borderId="1" xfId="0" applyFont="1" applyFill="1" applyBorder="1"/>
    <xf numFmtId="165" fontId="0" fillId="0" borderId="6" xfId="0" applyNumberFormat="1" applyBorder="1"/>
    <xf numFmtId="165" fontId="0" fillId="0" borderId="8" xfId="0" applyNumberFormat="1" applyBorder="1"/>
    <xf numFmtId="0" fontId="2" fillId="2" borderId="9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166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BSM!$B$18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BSM!$A$19:$A$39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BSM!$B$19:$B$39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3.0075894962631088E-14</c:v>
                </c:pt>
                <c:pt idx="2">
                  <c:v>7.9287709147303322E-11</c:v>
                </c:pt>
                <c:pt idx="3">
                  <c:v>4.0827270130412712E-8</c:v>
                </c:pt>
                <c:pt idx="4">
                  <c:v>5.6859985090538254E-6</c:v>
                </c:pt>
                <c:pt idx="5">
                  <c:v>2.7518633586883466E-4</c:v>
                </c:pt>
                <c:pt idx="6">
                  <c:v>5.6410526284211837E-3</c:v>
                </c:pt>
                <c:pt idx="7">
                  <c:v>5.749794949424003E-2</c:v>
                </c:pt>
                <c:pt idx="8">
                  <c:v>0.33304060098678434</c:v>
                </c:pt>
                <c:pt idx="9">
                  <c:v>1.2288248626253484</c:v>
                </c:pt>
                <c:pt idx="10">
                  <c:v>3.1906873705661525</c:v>
                </c:pt>
                <c:pt idx="11">
                  <c:v>6.3600432905220856</c:v>
                </c:pt>
                <c:pt idx="12">
                  <c:v>10.478854358610022</c:v>
                </c:pt>
                <c:pt idx="13">
                  <c:v>15.13969702721856</c:v>
                </c:pt>
                <c:pt idx="14">
                  <c:v>20.034093628273311</c:v>
                </c:pt>
                <c:pt idx="15">
                  <c:v>25.007051315785532</c:v>
                </c:pt>
                <c:pt idx="16">
                  <c:v>30.001253510190125</c:v>
                </c:pt>
                <c:pt idx="17">
                  <c:v>35.000194273440542</c:v>
                </c:pt>
                <c:pt idx="18">
                  <c:v>40.000026609098498</c:v>
                </c:pt>
                <c:pt idx="19">
                  <c:v>45.000003261987501</c:v>
                </c:pt>
                <c:pt idx="20">
                  <c:v>50.000000362095477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136-ADA4-D1FE029CC8F6}"/>
            </c:ext>
          </c:extLst>
        </c:ser>
        <c:ser>
          <c:idx val="1"/>
          <c:order val="1"/>
          <c:tx>
            <c:strRef>
              <c:f>BSM!$C$18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BSM!$C$19:$C$39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9.3953060242245335E-8</c:v>
                </c:pt>
                <c:pt idx="2">
                  <c:v>5.641321776524719E-6</c:v>
                </c:pt>
                <c:pt idx="3">
                  <c:v>1.5011759295251517E-4</c:v>
                </c:pt>
                <c:pt idx="4">
                  <c:v>2.0856266481723562E-3</c:v>
                </c:pt>
                <c:pt idx="5">
                  <c:v>1.7162661408203439E-2</c:v>
                </c:pt>
                <c:pt idx="6">
                  <c:v>9.2387366189720321E-2</c:v>
                </c:pt>
                <c:pt idx="7">
                  <c:v>0.35236707144273005</c:v>
                </c:pt>
                <c:pt idx="8">
                  <c:v>1.0165501060181121</c:v>
                </c:pt>
                <c:pt idx="9">
                  <c:v>2.3421831728596842</c:v>
                </c:pt>
                <c:pt idx="10">
                  <c:v>4.5111106145124751</c:v>
                </c:pt>
                <c:pt idx="11">
                  <c:v>7.5467544533154438</c:v>
                </c:pt>
                <c:pt idx="12">
                  <c:v>11.321493807973951</c:v>
                </c:pt>
                <c:pt idx="13">
                  <c:v>15.632102541456376</c:v>
                </c:pt>
                <c:pt idx="14">
                  <c:v>20.279992459828065</c:v>
                </c:pt>
                <c:pt idx="15">
                  <c:v>25.11548420773714</c:v>
                </c:pt>
                <c:pt idx="16">
                  <c:v>30.044612005337257</c:v>
                </c:pt>
                <c:pt idx="17">
                  <c:v>35.01623571518185</c:v>
                </c:pt>
                <c:pt idx="18">
                  <c:v>40.005597959742843</c:v>
                </c:pt>
                <c:pt idx="19">
                  <c:v>45.001838377277537</c:v>
                </c:pt>
                <c:pt idx="20">
                  <c:v>50.000577868937384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7-4136-ADA4-D1FE029CC8F6}"/>
            </c:ext>
          </c:extLst>
        </c:ser>
        <c:ser>
          <c:idx val="2"/>
          <c:order val="2"/>
          <c:tx>
            <c:strRef>
              <c:f>BSM!$D$18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BSM!$D$19:$D$39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2.6336254652498895E-4</c:v>
                </c:pt>
                <c:pt idx="2">
                  <c:v>2.3525682775269521E-3</c:v>
                </c:pt>
                <c:pt idx="3">
                  <c:v>1.3981153738370111E-2</c:v>
                </c:pt>
                <c:pt idx="4">
                  <c:v>6.0024946553486114E-2</c:v>
                </c:pt>
                <c:pt idx="5">
                  <c:v>0.19831481858080302</c:v>
                </c:pt>
                <c:pt idx="6">
                  <c:v>0.52976906180653049</c:v>
                </c:pt>
                <c:pt idx="7">
                  <c:v>1.1901718694536996</c:v>
                </c:pt>
                <c:pt idx="8">
                  <c:v>2.3211635243986208</c:v>
                </c:pt>
                <c:pt idx="9">
                  <c:v>4.032862351309447</c:v>
                </c:pt>
                <c:pt idx="10">
                  <c:v>6.3762744027974847</c:v>
                </c:pt>
                <c:pt idx="11">
                  <c:v>9.3364994095326139</c:v>
                </c:pt>
                <c:pt idx="12">
                  <c:v>12.845485253684402</c:v>
                </c:pt>
                <c:pt idx="13">
                  <c:v>16.804962684849556</c:v>
                </c:pt>
                <c:pt idx="14">
                  <c:v>21.10933791012053</c:v>
                </c:pt>
                <c:pt idx="15">
                  <c:v>25.662211327258149</c:v>
                </c:pt>
                <c:pt idx="16">
                  <c:v>30.384885403764642</c:v>
                </c:pt>
                <c:pt idx="17">
                  <c:v>35.218328025804965</c:v>
                </c:pt>
                <c:pt idx="18">
                  <c:v>40.121150675882859</c:v>
                </c:pt>
                <c:pt idx="19">
                  <c:v>45.065904773161819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A7-4136-ADA4-D1FE029C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Black76!$B$18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Black76!$A$19:$A$39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Black76!$B$19:$B$39</c:f>
              <c:numCache>
                <c:formatCode>_(* #,##0.0000_);_(* \(#,##0.0000\);_(* "-"??_);_(@_)</c:formatCode>
                <c:ptCount val="21"/>
                <c:pt idx="0">
                  <c:v>2.0414833157936827E-12</c:v>
                </c:pt>
                <c:pt idx="1">
                  <c:v>1.3272651541473746E-9</c:v>
                </c:pt>
                <c:pt idx="2">
                  <c:v>2.3021227536033257E-7</c:v>
                </c:pt>
                <c:pt idx="3">
                  <c:v>1.4075919374729779E-5</c:v>
                </c:pt>
                <c:pt idx="4">
                  <c:v>3.7401735690072505E-4</c:v>
                </c:pt>
                <c:pt idx="5">
                  <c:v>5.0742901084042391E-3</c:v>
                </c:pt>
                <c:pt idx="6">
                  <c:v>3.9914343421842524E-2</c:v>
                </c:pt>
                <c:pt idx="7">
                  <c:v>0.20168732797265321</c:v>
                </c:pt>
                <c:pt idx="8">
                  <c:v>0.71238089607366639</c:v>
                </c:pt>
                <c:pt idx="9">
                  <c:v>1.8880632480607282</c:v>
                </c:pt>
                <c:pt idx="10">
                  <c:v>3.987761167674492</c:v>
                </c:pt>
                <c:pt idx="11">
                  <c:v>7.0640191378988391</c:v>
                </c:pt>
                <c:pt idx="12">
                  <c:v>10.953947391857213</c:v>
                </c:pt>
                <c:pt idx="13">
                  <c:v>15.39493883771641</c:v>
                </c:pt>
                <c:pt idx="14">
                  <c:v>20.147332263256956</c:v>
                </c:pt>
                <c:pt idx="15">
                  <c:v>25.049892929277306</c:v>
                </c:pt>
                <c:pt idx="16">
                  <c:v>30.015460440603349</c:v>
                </c:pt>
                <c:pt idx="17">
                  <c:v>35.004419070649661</c:v>
                </c:pt>
                <c:pt idx="18">
                  <c:v>40.001174154865041</c:v>
                </c:pt>
                <c:pt idx="19">
                  <c:v>45.00029212166298</c:v>
                </c:pt>
                <c:pt idx="20">
                  <c:v>50.000068512534739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1-4B8A-B22E-9C3F42DB9599}"/>
            </c:ext>
          </c:extLst>
        </c:ser>
        <c:ser>
          <c:idx val="1"/>
          <c:order val="1"/>
          <c:tx>
            <c:strRef>
              <c:f>Black76!$C$18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Black76!$C$19:$C$39</c:f>
              <c:numCache>
                <c:formatCode>_(* #,##0.0000_);_(* \(#,##0.0000\);_(* "-"??_);_(@_)</c:formatCode>
                <c:ptCount val="21"/>
                <c:pt idx="0">
                  <c:v>9.0135453065375991E-7</c:v>
                </c:pt>
                <c:pt idx="1">
                  <c:v>2.6653937349557853E-5</c:v>
                </c:pt>
                <c:pt idx="2">
                  <c:v>4.069503276152419E-4</c:v>
                </c:pt>
                <c:pt idx="3">
                  <c:v>3.6910309572077277E-3</c:v>
                </c:pt>
                <c:pt idx="4">
                  <c:v>2.2095009684711286E-2</c:v>
                </c:pt>
                <c:pt idx="5">
                  <c:v>9.4646200341534037E-2</c:v>
                </c:pt>
                <c:pt idx="6">
                  <c:v>0.30911447589051733</c:v>
                </c:pt>
                <c:pt idx="7">
                  <c:v>0.80971952100526678</c:v>
                </c:pt>
                <c:pt idx="8">
                  <c:v>1.7724511004687962</c:v>
                </c:pt>
                <c:pt idx="9">
                  <c:v>3.3531802247620064</c:v>
                </c:pt>
                <c:pt idx="10">
                  <c:v>5.6371977797016655</c:v>
                </c:pt>
                <c:pt idx="11">
                  <c:v>8.6179738463164739</c:v>
                </c:pt>
                <c:pt idx="12">
                  <c:v>12.211246433573081</c:v>
                </c:pt>
                <c:pt idx="13">
                  <c:v>16.289987808476496</c:v>
                </c:pt>
                <c:pt idx="14">
                  <c:v>20.720412517855721</c:v>
                </c:pt>
                <c:pt idx="15">
                  <c:v>25.386393094863152</c:v>
                </c:pt>
                <c:pt idx="16">
                  <c:v>30.199700106318701</c:v>
                </c:pt>
                <c:pt idx="17">
                  <c:v>35.099783401702609</c:v>
                </c:pt>
                <c:pt idx="18">
                  <c:v>40.04835520601263</c:v>
                </c:pt>
                <c:pt idx="19">
                  <c:v>45.02279442330881</c:v>
                </c:pt>
                <c:pt idx="20">
                  <c:v>50.010481433933236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1-4B8A-B22E-9C3F42DB9599}"/>
            </c:ext>
          </c:extLst>
        </c:ser>
        <c:ser>
          <c:idx val="2"/>
          <c:order val="2"/>
          <c:tx>
            <c:strRef>
              <c:f>Black76!$D$18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Black76!$D$19:$D$39</c:f>
              <c:numCache>
                <c:formatCode>_(* #,##0.0000_);_(* \(#,##0.0000\);_(* "-"??_);_(@_)</c:formatCode>
                <c:ptCount val="21"/>
                <c:pt idx="0">
                  <c:v>9.431090880750205E-4</c:v>
                </c:pt>
                <c:pt idx="1">
                  <c:v>5.863277009853507E-3</c:v>
                </c:pt>
                <c:pt idx="2">
                  <c:v>2.611181190724049E-2</c:v>
                </c:pt>
                <c:pt idx="3">
                  <c:v>8.9401584110823329E-2</c:v>
                </c:pt>
                <c:pt idx="4">
                  <c:v>0.24810989689244956</c:v>
                </c:pt>
                <c:pt idx="5">
                  <c:v>0.58118584627555592</c:v>
                </c:pt>
                <c:pt idx="6">
                  <c:v>1.1859295132104251</c:v>
                </c:pt>
                <c:pt idx="7">
                  <c:v>2.1613180334221411</c:v>
                </c:pt>
                <c:pt idx="8">
                  <c:v>3.5891081160547991</c:v>
                </c:pt>
                <c:pt idx="9">
                  <c:v>5.5195410636769751</c:v>
                </c:pt>
                <c:pt idx="10">
                  <c:v>7.9655674554058038</c:v>
                </c:pt>
                <c:pt idx="11">
                  <c:v>10.905593471555491</c:v>
                </c:pt>
                <c:pt idx="12">
                  <c:v>14.292010941409885</c:v>
                </c:pt>
                <c:pt idx="13">
                  <c:v>18.061945659744509</c:v>
                </c:pt>
                <c:pt idx="14">
                  <c:v>22.14729881057815</c:v>
                </c:pt>
                <c:pt idx="15">
                  <c:v>26.482411891513053</c:v>
                </c:pt>
                <c:pt idx="16">
                  <c:v>31.008871615968616</c:v>
                </c:pt>
                <c:pt idx="17">
                  <c:v>35.677761953340053</c:v>
                </c:pt>
                <c:pt idx="18">
                  <c:v>40.4500324519081</c:v>
                </c:pt>
                <c:pt idx="19">
                  <c:v>45.295699573953925</c:v>
                </c:pt>
                <c:pt idx="20">
                  <c:v>50.19247532329706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1-4B8A-B22E-9C3F42DB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DDDB1C-21A1-4826-85F2-190609E3C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0C2B8-9012-4A77-945F-16595D670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9"/>
  <sheetViews>
    <sheetView tabSelected="1" zoomScale="80" zoomScaleNormal="80" workbookViewId="0">
      <selection activeCell="B9" sqref="B9"/>
    </sheetView>
  </sheetViews>
  <sheetFormatPr defaultColWidth="11" defaultRowHeight="15.75" x14ac:dyDescent="0.25"/>
  <cols>
    <col min="2" max="2" width="11.875" bestFit="1" customWidth="1"/>
  </cols>
  <sheetData>
    <row r="1" spans="1:16" x14ac:dyDescent="0.25">
      <c r="A1" s="3" t="s">
        <v>14</v>
      </c>
      <c r="B1" s="4">
        <v>100</v>
      </c>
      <c r="C1" s="5" t="s">
        <v>16</v>
      </c>
      <c r="D1" s="6">
        <v>0.16</v>
      </c>
      <c r="P1" t="s">
        <v>38</v>
      </c>
    </row>
    <row r="2" spans="1:16" x14ac:dyDescent="0.25">
      <c r="A2" s="7" t="s">
        <v>15</v>
      </c>
      <c r="B2" s="8">
        <v>100</v>
      </c>
      <c r="C2" s="9" t="s">
        <v>17</v>
      </c>
      <c r="D2" s="10">
        <v>1</v>
      </c>
      <c r="F2" s="40">
        <f>0.4*D1*SQRT(D2)*100</f>
        <v>6.4</v>
      </c>
      <c r="J2">
        <v>19.93116271023025</v>
      </c>
      <c r="K2">
        <v>3.1906873705661525</v>
      </c>
      <c r="P2" t="s">
        <v>39</v>
      </c>
    </row>
    <row r="3" spans="1:16" ht="16.5" thickBot="1" x14ac:dyDescent="0.3">
      <c r="A3" s="11" t="s">
        <v>18</v>
      </c>
      <c r="B3" s="12">
        <v>0</v>
      </c>
      <c r="C3" s="13" t="s">
        <v>19</v>
      </c>
      <c r="D3" s="14">
        <v>0</v>
      </c>
      <c r="J3">
        <v>19.933093635145472</v>
      </c>
      <c r="K3">
        <v>2.9913659851819503</v>
      </c>
      <c r="P3" t="s">
        <v>40</v>
      </c>
    </row>
    <row r="4" spans="1:16" ht="16.5" thickBot="1" x14ac:dyDescent="0.3">
      <c r="K4">
        <f>K2-K3</f>
        <v>0.19932138538420219</v>
      </c>
    </row>
    <row r="5" spans="1:16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6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  <c r="P6" t="s">
        <v>41</v>
      </c>
    </row>
    <row r="7" spans="1:16" x14ac:dyDescent="0.25">
      <c r="A7" s="17" t="s">
        <v>22</v>
      </c>
      <c r="B7" s="8">
        <f>bsm($B$1,$B$2,$D$2,$B$3,$D$3,$D$1,$B$6)</f>
        <v>6.3762744027974847</v>
      </c>
      <c r="C7" s="10">
        <f>bsm($B$1,$B$2,$D$2,$B$3,$D$3,$D$1,$C$6)</f>
        <v>6.3762744027974847</v>
      </c>
      <c r="D7" s="22">
        <f>B7/B1</f>
        <v>6.3762744027974841E-2</v>
      </c>
      <c r="E7" s="23">
        <f>C7/B1</f>
        <v>6.3762744027974841E-2</v>
      </c>
      <c r="F7" s="28"/>
      <c r="G7" s="10"/>
      <c r="H7" s="28"/>
      <c r="I7" s="10"/>
      <c r="P7" t="s">
        <v>56</v>
      </c>
    </row>
    <row r="8" spans="1:16" x14ac:dyDescent="0.25">
      <c r="A8" s="17" t="s">
        <v>23</v>
      </c>
      <c r="B8" s="8">
        <f>bsm_delta($B$1,$B$2,$D$2,$B$3,$D$3,$D$1,$B$6)</f>
        <v>0.53188137201398744</v>
      </c>
      <c r="C8" s="10">
        <f>bsm_delta($B$1,$B$2,$D$2,$B$3,$D$3,$D$1,$C$6)</f>
        <v>-0.46811862798601261</v>
      </c>
      <c r="D8" s="24">
        <f>B8*100</f>
        <v>53.188137201398746</v>
      </c>
      <c r="E8" s="25">
        <f>C8*100</f>
        <v>-46.811862798601261</v>
      </c>
      <c r="F8" s="28">
        <f>bsm($B$1+B1*0.01,$B$2,$D$2,$B$3,$D$3,$D$1,$B$6)</f>
        <v>6.9205171569266071</v>
      </c>
      <c r="G8" s="10">
        <f>bsm($B$1+B1*0.01,$B$2,$D$2,$B$3,$D$3,$D$1,$C$6)</f>
        <v>5.9205171569266</v>
      </c>
      <c r="H8" s="28">
        <f>B7+B8*B1*0.01</f>
        <v>6.9081557748114726</v>
      </c>
      <c r="I8" s="10">
        <f>C7+C8*B1*0.01</f>
        <v>5.9081557748114717</v>
      </c>
      <c r="P8" t="s">
        <v>57</v>
      </c>
    </row>
    <row r="9" spans="1:16" x14ac:dyDescent="0.25">
      <c r="A9" s="17" t="s">
        <v>24</v>
      </c>
      <c r="B9" s="8">
        <f>bsm_gamma($B$1,$B$2,$D$2,$B$3,$D$3,$D$1)</f>
        <v>2.4854231594475557E-2</v>
      </c>
      <c r="C9" s="10">
        <f>bsm_gamma($B$1,$B$2,$D$2,$B$3,$D$3,$D$1)</f>
        <v>2.4854231594475557E-2</v>
      </c>
      <c r="D9" s="26">
        <f>B9*100</f>
        <v>2.4854231594475555</v>
      </c>
      <c r="E9" s="27">
        <f>C9*100</f>
        <v>2.4854231594475555</v>
      </c>
      <c r="F9" s="28">
        <f>bsm_delta($B$1+B1*0.01,$B$2,$D$2,$B$3,$D$3,$D$1,$B$6)</f>
        <v>0.5565348641350828</v>
      </c>
      <c r="G9" s="10">
        <f>bsm_delta($B$1+B1*0.01,$B$2,$D$2,$B$3,$D$3,$D$1,$C$6)</f>
        <v>-0.4434651358649172</v>
      </c>
      <c r="H9" s="28">
        <f>B8+B9*B1*0.01</f>
        <v>0.55673560360846297</v>
      </c>
      <c r="I9" s="10">
        <f>C8+C9*B1*0.01</f>
        <v>-0.44326439639153703</v>
      </c>
      <c r="P9" t="s">
        <v>42</v>
      </c>
    </row>
    <row r="10" spans="1:16" x14ac:dyDescent="0.25">
      <c r="A10" s="17" t="s">
        <v>25</v>
      </c>
      <c r="B10" s="8">
        <f>bsm_vega($B$1,$B$2,$D$2,$B$3,$D$3,$D$1)</f>
        <v>39.766770551160889</v>
      </c>
      <c r="C10" s="10">
        <f>bsm_vega($B$1,$B$2,$D$2,$B$3,$D$3,$D$1)</f>
        <v>39.766770551160889</v>
      </c>
      <c r="D10" s="26">
        <f>B10/100</f>
        <v>0.3976677055116089</v>
      </c>
      <c r="E10" s="27">
        <f>C10/100</f>
        <v>0.3976677055116089</v>
      </c>
      <c r="F10" s="28">
        <f>bsm($B$1,$B$2,$D$2+0.01,$B$3,$D$3,$D$1,$B$6)</f>
        <v>6.408008173574828</v>
      </c>
      <c r="G10" s="10">
        <f>bsm($B$1,$B$2,$D$2+0.01,$B$3,$D$3,$D$1,$C$6)</f>
        <v>6.408008173574828</v>
      </c>
      <c r="H10" s="28">
        <f>B7+B10*0.01</f>
        <v>6.7739421083090932</v>
      </c>
      <c r="I10" s="10">
        <f>C7+C10*0.01</f>
        <v>6.7739421083090932</v>
      </c>
      <c r="P10" t="s">
        <v>51</v>
      </c>
    </row>
    <row r="11" spans="1:16" x14ac:dyDescent="0.25">
      <c r="A11" s="17" t="s">
        <v>26</v>
      </c>
      <c r="B11" s="8">
        <f>bsm_theta($B$1,$B$2,$D$2,$B$3,$D$3,$D$1,$B$6)</f>
        <v>-3.1813416440928712</v>
      </c>
      <c r="C11" s="10">
        <f>bsm_theta($B$1,$B$2,$D$2,$B$3,$D$3,$D$1,$C$6)</f>
        <v>-3.1813416440928712</v>
      </c>
      <c r="D11" s="26">
        <f>B11/365*D2</f>
        <v>-8.7160045043640309E-3</v>
      </c>
      <c r="E11" s="27">
        <f>C11/365*D2</f>
        <v>-8.7160045043640309E-3</v>
      </c>
      <c r="F11" s="28">
        <f>bsm($B$1,$B$2,$D$2-1/365,$B$3,$D$3,$D$1,$B$6)</f>
        <v>6.367552381992887</v>
      </c>
      <c r="G11" s="10">
        <f>bsm($B$1,$B$2,$D$2-1/365,$B$3,$D$3,$D$1,$C$6)</f>
        <v>6.367552381992887</v>
      </c>
      <c r="H11" s="28">
        <f>B7+B11/365</f>
        <v>6.367558398293121</v>
      </c>
      <c r="I11" s="10">
        <f>C7+C11/365</f>
        <v>6.367558398293121</v>
      </c>
      <c r="P11" t="s">
        <v>55</v>
      </c>
    </row>
    <row r="12" spans="1:16" x14ac:dyDescent="0.25">
      <c r="A12" s="17" t="s">
        <v>27</v>
      </c>
      <c r="B12" s="8">
        <f>bsm_rho($B$1,$B$2,$D$2,$B$3,$D$3,$D$1,$B$6)</f>
        <v>46.811862798601261</v>
      </c>
      <c r="C12" s="10">
        <f>bsm_rho($B$1,$B$2,$D$2,$B$3,$D$3,$D$1,$C$6)</f>
        <v>-53.188137201398746</v>
      </c>
      <c r="D12" s="26">
        <f t="shared" ref="D12:E14" si="0">B12/100</f>
        <v>0.46811862798601261</v>
      </c>
      <c r="E12" s="27">
        <f t="shared" si="0"/>
        <v>-0.53188137201398744</v>
      </c>
      <c r="F12" s="28">
        <f>bsm($B$1,$B$2,$D$2,$B$3+0.01,$D$3,$D$1,$B$6)</f>
        <v>6.8544213576733029</v>
      </c>
      <c r="G12" s="10">
        <f>bsm($B$1,$B$2,$D$2,$B$3+0.01,$D$3,$D$1,$C$6)</f>
        <v>5.8594047325901073</v>
      </c>
      <c r="H12" s="28">
        <f>B7+B12/100</f>
        <v>6.8443930307834977</v>
      </c>
      <c r="I12" s="10">
        <f>C7+C12/100</f>
        <v>5.8443930307834968</v>
      </c>
      <c r="P12" t="s">
        <v>52</v>
      </c>
    </row>
    <row r="13" spans="1:16" x14ac:dyDescent="0.25">
      <c r="A13" s="17" t="s">
        <v>28</v>
      </c>
      <c r="B13" s="8">
        <f>bsm_vanna($B$1,$B$2,$D$2,$B$3,$D$3,$D$1)</f>
        <v>0.19883385275580445</v>
      </c>
      <c r="C13" s="10">
        <f>bsm_vanna($B$1,$B$2,$D$2,$B$3,$D$3,$D$1)</f>
        <v>0.19883385275580445</v>
      </c>
      <c r="D13" s="26">
        <f t="shared" si="0"/>
        <v>1.9883385275580446E-3</v>
      </c>
      <c r="E13" s="27">
        <f t="shared" si="0"/>
        <v>1.9883385275580446E-3</v>
      </c>
      <c r="F13" s="28">
        <f>bsm_delta($B$1,$B$2,$D$2,$B$3,$D$3,$D$1+0.01,$B$6)</f>
        <v>0.53386930464462923</v>
      </c>
      <c r="G13" s="10">
        <f>bsm_delta($B$1,$B$2,$D$2,$B$3,$D$3,$D$1+0.01,$C$6)</f>
        <v>-0.46613069535537083</v>
      </c>
      <c r="H13" s="28">
        <f>B8+B13/100</f>
        <v>0.53386971054154553</v>
      </c>
      <c r="I13" s="10">
        <f>C8+C13/100</f>
        <v>-0.46613028945845458</v>
      </c>
      <c r="P13" t="s">
        <v>54</v>
      </c>
    </row>
    <row r="14" spans="1:16" ht="16.5" thickBot="1" x14ac:dyDescent="0.3">
      <c r="A14" s="18" t="s">
        <v>29</v>
      </c>
      <c r="B14" s="12">
        <f>bsm_volga($B$1,$B$2,$D$2,$B$3,$D$3,$D$1)</f>
        <v>-1.5906708220464356</v>
      </c>
      <c r="C14" s="14">
        <f>bsm_volga($B$1,$B$2,$D$2,$B$3,$D$3,$D$1)</f>
        <v>-1.5906708220464356</v>
      </c>
      <c r="D14" s="31">
        <f t="shared" si="0"/>
        <v>-1.5906708220464357E-2</v>
      </c>
      <c r="E14" s="32">
        <f t="shared" si="0"/>
        <v>-1.5906708220464357E-2</v>
      </c>
      <c r="F14" s="29">
        <f>bsm_vega($B$1,$B$2,$D$2,$B$3,$D$3,$D$1+0.01)</f>
        <v>39.750370141125657</v>
      </c>
      <c r="G14" s="14">
        <f>bsm_vega($B$1,$B$2,$D$2,$B$3,$D$3,$D$1+0.01)</f>
        <v>39.750370141125657</v>
      </c>
      <c r="H14" s="29">
        <f>B10+B14/100</f>
        <v>39.750863842940426</v>
      </c>
      <c r="I14" s="14">
        <f>C10+C14/100</f>
        <v>39.750863842940426</v>
      </c>
      <c r="P14" t="s">
        <v>53</v>
      </c>
    </row>
    <row r="15" spans="1:16" x14ac:dyDescent="0.25">
      <c r="P15" t="s">
        <v>58</v>
      </c>
    </row>
    <row r="16" spans="1:16" x14ac:dyDescent="0.25">
      <c r="P16" t="s">
        <v>59</v>
      </c>
    </row>
    <row r="17" spans="1:27" x14ac:dyDescent="0.25">
      <c r="A17" s="19"/>
      <c r="B17" s="37" t="s">
        <v>17</v>
      </c>
      <c r="C17" s="37"/>
      <c r="D17" s="37"/>
      <c r="P17" t="s">
        <v>60</v>
      </c>
    </row>
    <row r="18" spans="1:27" x14ac:dyDescent="0.25">
      <c r="A18" s="9" t="s">
        <v>14</v>
      </c>
      <c r="B18" s="19">
        <v>0.25</v>
      </c>
      <c r="C18" s="19">
        <v>0.5</v>
      </c>
      <c r="D18" s="19">
        <v>1</v>
      </c>
    </row>
    <row r="19" spans="1:27" x14ac:dyDescent="0.25">
      <c r="A19" s="21">
        <v>50</v>
      </c>
      <c r="B19" s="20" t="str">
        <f>bsm($A19,$B$2,B$18,$B$3,$D$3,$D$1,"call")</f>
        <v>ModuleNotFoundError: No module named 'option_pricer'
  File "&lt;frozen importlib._bootstrap&gt;", line 973, in _find_and_load_unlocked
  File "&lt;frozen importlib._bootstrap&gt;", line 991, in _find_and_load
  File "&lt;frozen importlib._bootstrap&gt;", line 1014, in _gcd_import
    return _bootstrap._gcd_import(name[level:], package, level)
  File "d:\anaconda3\lib\importlib\__init__.py", line 127, in import_module
    module = import_module(module_name)
  File "d:\anaconda3\lib\site-packages\xlwings\udfs.py", line 224, in get_udf_module
    module = get_udf_module(module_name, this_workbook)
  File "d:\anaconda3\lib\site-packages\xlwings\udfs.py", line 250, in call_udf
    res = call_udf(script, fname, args, this_workbook, FromVariant(caller))
  File "d:\anaconda3\lib\site-packages\xlwings\server.py", line 195, in CallUDF
    return func(*args)
  File "d:\anaconda3\lib\site-packages\win32com\server\policy.py", line 586, in _invokeex_
    return S_OK, -1, self._invokeex_(dispid, lcid, wFlags, args, None, None)
  File "d:\anaconda3\lib\site-packages\win32com\server\policy.py", line 283, in _invoke_
    return self._invoke_(dispid, lcid, wFlags, args)
  File "d:\anaconda3\lib\site-packages\win32com\server\policy.py", line 278, in _Invoke_</v>
      </c>
      <c r="C19" s="20" t="str">
        <f t="shared" ref="C19:D34" si="1">bsm($A19,$B$2,C$18,$B$3,$D$3,$D$1,"call")</f>
        <v>ModuleNotFoundError: No module named 'option_pricer'
  File "&lt;frozen importlib._bootstrap&gt;", line 973, in _find_and_load_unlocked
  File "&lt;frozen importlib._bootstrap&gt;", line 991, in _find_and_load
  File "&lt;frozen importlib._bootstrap&gt;", line 1014, in _gcd_import
    return _bootstrap._gcd_import(name[level:], package, level)
  File "d:\anaconda3\lib\importlib\__init__.py", line 127, in import_module
    module = import_module(module_name)
  File "d:\anaconda3\lib\site-packages\xlwings\udfs.py", line 224, in get_udf_module
    module = get_udf_module(module_name, this_workbook)
  File "d:\anaconda3\lib\site-packages\xlwings\udfs.py", line 250, in call_udf
    res = call_udf(script, fname, args, this_workbook, FromVariant(caller))
  File "d:\anaconda3\lib\site-packages\xlwings\server.py", line 195, in CallUDF
    return func(*args)
  File "d:\anaconda3\lib\site-packages\win32com\server\policy.py", line 586, in _invokeex_
    return S_OK, -1, self._invokeex_(dispid, lcid, wFlags, args, None, None)
  File "d:\anaconda3\lib\site-packages\win32com\server\policy.py", line 283, in _invoke_
    return self._invoke_(dispid, lcid, wFlags, args)
  File "d:\anaconda3\lib\site-packages\win32com\server\policy.py", line 278, in _Invoke_</v>
      </c>
      <c r="D19" s="20" t="str">
        <f t="shared" si="1"/>
        <v>ModuleNotFoundError: No module named 'option_pricer'
  File "&lt;frozen importlib._bootstrap&gt;", line 973, in _find_and_load_unlocked
  File "&lt;frozen importlib._bootstrap&gt;", line 991, in _find_and_load
  File "&lt;frozen importlib._bootstrap&gt;", line 1014, in _gcd_import
    return _bootstrap._gcd_import(name[level:], package, level)
  File "d:\anaconda3\lib\importlib\__init__.py", line 127, in import_module
    module = import_module(module_name)
  File "d:\anaconda3\lib\site-packages\xlwings\udfs.py", line 224, in get_udf_module
    module = get_udf_module(module_name, this_workbook)
  File "d:\anaconda3\lib\site-packages\xlwings\udfs.py", line 250, in call_udf
    res = call_udf(script, fname, args, this_workbook, FromVariant(caller))
  File "d:\anaconda3\lib\site-packages\xlwings\server.py", line 195, in CallUDF
    return func(*args)
  File "d:\anaconda3\lib\site-packages\win32com\server\policy.py", line 586, in _invokeex_
    return S_OK, -1, self._invokeex_(dispid, lcid, wFlags, args, None, None)
  File "d:\anaconda3\lib\site-packages\win32com\server\policy.py", line 283, in _invoke_
    return self._invoke_(dispid, lcid, wFlags, args)
  File "d:\anaconda3\lib\site-packages\win32com\server\policy.py", line 278, in _Invoke_</v>
      </c>
    </row>
    <row r="20" spans="1:27" x14ac:dyDescent="0.25">
      <c r="A20" s="21">
        <v>55</v>
      </c>
      <c r="B20" s="20">
        <f t="shared" ref="B20:D39" si="2">bsm($A20,$B$2,B$18,$B$3,$D$3,$D$1,"call")</f>
        <v>3.0075894962631088E-14</v>
      </c>
      <c r="C20" s="20">
        <f t="shared" si="1"/>
        <v>9.3953060242245335E-8</v>
      </c>
      <c r="D20" s="20">
        <f t="shared" si="1"/>
        <v>2.6336254652498895E-4</v>
      </c>
      <c r="P20" t="s">
        <v>43</v>
      </c>
    </row>
    <row r="21" spans="1:27" x14ac:dyDescent="0.25">
      <c r="A21" s="21">
        <v>60</v>
      </c>
      <c r="B21" s="20">
        <f t="shared" si="2"/>
        <v>7.9287709147303322E-11</v>
      </c>
      <c r="C21" s="20">
        <f t="shared" si="1"/>
        <v>5.641321776524719E-6</v>
      </c>
      <c r="D21" s="20">
        <f t="shared" si="1"/>
        <v>2.3525682775269521E-3</v>
      </c>
      <c r="P21" t="s">
        <v>49</v>
      </c>
      <c r="AA21">
        <v>3</v>
      </c>
    </row>
    <row r="22" spans="1:27" x14ac:dyDescent="0.25">
      <c r="A22" s="21">
        <v>65</v>
      </c>
      <c r="B22" s="20">
        <f t="shared" si="2"/>
        <v>4.0827270130412712E-8</v>
      </c>
      <c r="C22" s="20">
        <f t="shared" si="1"/>
        <v>1.5011759295251517E-4</v>
      </c>
      <c r="D22" s="20">
        <f t="shared" si="1"/>
        <v>1.3981153738370111E-2</v>
      </c>
      <c r="P22" t="s">
        <v>44</v>
      </c>
      <c r="AA22">
        <f>6/22/3</f>
        <v>9.0909090909090898E-2</v>
      </c>
    </row>
    <row r="23" spans="1:27" x14ac:dyDescent="0.25">
      <c r="A23" s="21">
        <v>70</v>
      </c>
      <c r="B23" s="20">
        <f t="shared" si="2"/>
        <v>5.6859985090538254E-6</v>
      </c>
      <c r="C23" s="20">
        <f t="shared" si="1"/>
        <v>2.0856266481723562E-3</v>
      </c>
      <c r="D23" s="20">
        <f t="shared" si="1"/>
        <v>6.0024946553486114E-2</v>
      </c>
      <c r="P23" t="s">
        <v>50</v>
      </c>
      <c r="AA23">
        <f>AA21-AA22</f>
        <v>2.9090909090909092</v>
      </c>
    </row>
    <row r="24" spans="1:27" x14ac:dyDescent="0.25">
      <c r="A24" s="21">
        <v>75</v>
      </c>
      <c r="B24" s="20">
        <f t="shared" si="2"/>
        <v>2.7518633586883466E-4</v>
      </c>
      <c r="C24" s="20">
        <f t="shared" si="1"/>
        <v>1.7162661408203439E-2</v>
      </c>
      <c r="D24" s="20">
        <f t="shared" si="1"/>
        <v>0.19831481858080302</v>
      </c>
    </row>
    <row r="25" spans="1:27" x14ac:dyDescent="0.25">
      <c r="A25" s="21">
        <v>80</v>
      </c>
      <c r="B25" s="20">
        <f t="shared" si="2"/>
        <v>5.6410526284211837E-3</v>
      </c>
      <c r="C25" s="20">
        <f t="shared" si="1"/>
        <v>9.2387366189720321E-2</v>
      </c>
      <c r="D25" s="20">
        <f t="shared" si="1"/>
        <v>0.52976906180653049</v>
      </c>
    </row>
    <row r="26" spans="1:27" x14ac:dyDescent="0.25">
      <c r="A26" s="21">
        <v>85</v>
      </c>
      <c r="B26" s="20">
        <f t="shared" si="2"/>
        <v>5.749794949424003E-2</v>
      </c>
      <c r="C26" s="20">
        <f t="shared" si="1"/>
        <v>0.35236707144273005</v>
      </c>
      <c r="D26" s="20">
        <f t="shared" si="1"/>
        <v>1.1901718694536996</v>
      </c>
    </row>
    <row r="27" spans="1:27" x14ac:dyDescent="0.25">
      <c r="A27" s="21">
        <v>90</v>
      </c>
      <c r="B27" s="20">
        <f t="shared" si="2"/>
        <v>0.33304060098678434</v>
      </c>
      <c r="C27" s="20">
        <f t="shared" si="1"/>
        <v>1.0165501060181121</v>
      </c>
      <c r="D27" s="20">
        <f t="shared" si="1"/>
        <v>2.3211635243986208</v>
      </c>
      <c r="P27" t="s">
        <v>46</v>
      </c>
    </row>
    <row r="28" spans="1:27" x14ac:dyDescent="0.25">
      <c r="A28" s="21">
        <v>95</v>
      </c>
      <c r="B28" s="20">
        <f t="shared" si="2"/>
        <v>1.2288248626253484</v>
      </c>
      <c r="C28" s="20">
        <f t="shared" si="1"/>
        <v>2.3421831728596842</v>
      </c>
      <c r="D28" s="20">
        <f t="shared" si="1"/>
        <v>4.032862351309447</v>
      </c>
      <c r="P28" t="s">
        <v>45</v>
      </c>
    </row>
    <row r="29" spans="1:27" x14ac:dyDescent="0.25">
      <c r="A29" s="21">
        <v>100</v>
      </c>
      <c r="B29" s="20">
        <f t="shared" si="2"/>
        <v>3.1906873705661525</v>
      </c>
      <c r="C29" s="20">
        <f t="shared" si="1"/>
        <v>4.5111106145124751</v>
      </c>
      <c r="D29" s="20">
        <f t="shared" si="1"/>
        <v>6.3762744027974847</v>
      </c>
      <c r="P29" t="s">
        <v>47</v>
      </c>
    </row>
    <row r="30" spans="1:27" x14ac:dyDescent="0.25">
      <c r="A30" s="21">
        <v>105</v>
      </c>
      <c r="B30" s="20">
        <f t="shared" si="2"/>
        <v>6.3600432905220856</v>
      </c>
      <c r="C30" s="20">
        <f t="shared" si="1"/>
        <v>7.5467544533154438</v>
      </c>
      <c r="D30" s="20">
        <f t="shared" si="1"/>
        <v>9.3364994095326139</v>
      </c>
      <c r="P30" t="s">
        <v>48</v>
      </c>
    </row>
    <row r="31" spans="1:27" x14ac:dyDescent="0.25">
      <c r="A31" s="21">
        <v>110</v>
      </c>
      <c r="B31" s="20">
        <f t="shared" si="2"/>
        <v>10.478854358610022</v>
      </c>
      <c r="C31" s="20">
        <f t="shared" si="1"/>
        <v>11.321493807973951</v>
      </c>
      <c r="D31" s="20">
        <f t="shared" si="1"/>
        <v>12.845485253684402</v>
      </c>
    </row>
    <row r="32" spans="1:27" x14ac:dyDescent="0.25">
      <c r="A32" s="21">
        <v>115</v>
      </c>
      <c r="B32" s="20">
        <f t="shared" si="2"/>
        <v>15.13969702721856</v>
      </c>
      <c r="C32" s="20">
        <f t="shared" si="1"/>
        <v>15.632102541456376</v>
      </c>
      <c r="D32" s="20">
        <f t="shared" si="1"/>
        <v>16.804962684849556</v>
      </c>
    </row>
    <row r="33" spans="1:4" x14ac:dyDescent="0.25">
      <c r="A33" s="21">
        <v>120</v>
      </c>
      <c r="B33" s="20">
        <f t="shared" si="2"/>
        <v>20.034093628273311</v>
      </c>
      <c r="C33" s="20">
        <f t="shared" si="1"/>
        <v>20.279992459828065</v>
      </c>
      <c r="D33" s="20">
        <f t="shared" si="1"/>
        <v>21.10933791012053</v>
      </c>
    </row>
    <row r="34" spans="1:4" x14ac:dyDescent="0.25">
      <c r="A34" s="21">
        <v>125</v>
      </c>
      <c r="B34" s="20">
        <f t="shared" si="2"/>
        <v>25.007051315785532</v>
      </c>
      <c r="C34" s="20">
        <f t="shared" si="1"/>
        <v>25.11548420773714</v>
      </c>
      <c r="D34" s="20">
        <f t="shared" si="1"/>
        <v>25.662211327258149</v>
      </c>
    </row>
    <row r="35" spans="1:4" x14ac:dyDescent="0.25">
      <c r="A35" s="21">
        <v>130</v>
      </c>
      <c r="B35" s="20">
        <f t="shared" si="2"/>
        <v>30.001253510190125</v>
      </c>
      <c r="C35" s="20">
        <f t="shared" si="2"/>
        <v>30.044612005337257</v>
      </c>
      <c r="D35" s="20">
        <f t="shared" si="2"/>
        <v>30.384885403764642</v>
      </c>
    </row>
    <row r="36" spans="1:4" x14ac:dyDescent="0.25">
      <c r="A36" s="21">
        <v>135</v>
      </c>
      <c r="B36" s="20">
        <f t="shared" si="2"/>
        <v>35.000194273440542</v>
      </c>
      <c r="C36" s="20">
        <f t="shared" si="2"/>
        <v>35.01623571518185</v>
      </c>
      <c r="D36" s="20">
        <f t="shared" si="2"/>
        <v>35.218328025804965</v>
      </c>
    </row>
    <row r="37" spans="1:4" x14ac:dyDescent="0.25">
      <c r="A37" s="21">
        <v>140</v>
      </c>
      <c r="B37" s="20">
        <f t="shared" si="2"/>
        <v>40.000026609098498</v>
      </c>
      <c r="C37" s="20">
        <f t="shared" si="2"/>
        <v>40.005597959742843</v>
      </c>
      <c r="D37" s="20">
        <f t="shared" si="2"/>
        <v>40.121150675882859</v>
      </c>
    </row>
    <row r="38" spans="1:4" x14ac:dyDescent="0.25">
      <c r="A38" s="21">
        <v>145</v>
      </c>
      <c r="B38" s="20">
        <f t="shared" si="2"/>
        <v>45.000003261987501</v>
      </c>
      <c r="C38" s="20">
        <f t="shared" si="2"/>
        <v>45.001838377277537</v>
      </c>
      <c r="D38" s="20">
        <f t="shared" si="2"/>
        <v>45.065904773161819</v>
      </c>
    </row>
    <row r="39" spans="1:4" x14ac:dyDescent="0.25">
      <c r="A39" s="21">
        <v>150</v>
      </c>
      <c r="B39" s="20">
        <f t="shared" si="2"/>
        <v>50.000000362095477</v>
      </c>
      <c r="C39" s="20">
        <f t="shared" si="2"/>
        <v>50.000577868937384</v>
      </c>
      <c r="D39" s="20" t="str">
        <f t="shared" si="2"/>
        <v>ModuleNotFoundError: No module named 'option_pricer'
  File "&lt;frozen importlib._bootstrap&gt;", line 973, in _find_and_load_unlocked
  File "&lt;frozen importlib._bootstrap&gt;", line 991, in _find_and_load
  File "&lt;frozen importlib._bootstrap&gt;", line 1014, in _gcd_import
    return _bootstrap._gcd_import(name[level:], package, level)
  File "d:\anaconda3\lib\importlib\__init__.py", line 127, in import_module
    module = import_module(module_name)
  File "d:\anaconda3\lib\site-packages\xlwings\udfs.py", line 224, in get_udf_module
    module = get_udf_module(module_name, this_workbook)
  File "d:\anaconda3\lib\site-packages\xlwings\udfs.py", line 250, in call_udf
    res = call_udf(script, fname, args, this_workbook, FromVariant(caller))
  File "d:\anaconda3\lib\site-packages\xlwings\server.py", line 195, in CallUDF
    return func(*args)
  File "d:\anaconda3\lib\site-packages\win32com\server\policy.py", line 586, in _invokeex_
    return S_OK, -1, self._invokeex_(dispid, lcid, wFlags, args, None, None)
  File "d:\anaconda3\lib\site-packages\win32com\server\policy.py", line 283, in _invoke_
    return self._invoke_(dispid, lcid, wFlags, args)
  File "d:\anaconda3\lib\site-packages\win32com\server\policy.py", line 278, in _Invoke_</v>
      </c>
    </row>
  </sheetData>
  <mergeCells count="5">
    <mergeCell ref="B17:D17"/>
    <mergeCell ref="B5:C5"/>
    <mergeCell ref="D5:E5"/>
    <mergeCell ref="F5:G5"/>
    <mergeCell ref="H5:I5"/>
  </mergeCells>
  <pageMargins left="0.75" right="0.75" top="1" bottom="1" header="0.5" footer="0.5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7F97-3424-42DA-9DC6-3C278E5ACF28}">
  <sheetPr codeName="Sheet3"/>
  <dimension ref="A1:K39"/>
  <sheetViews>
    <sheetView zoomScale="80" zoomScaleNormal="80" workbookViewId="0">
      <selection activeCell="P17" sqref="P17"/>
    </sheetView>
  </sheetViews>
  <sheetFormatPr defaultColWidth="11" defaultRowHeight="15.75" x14ac:dyDescent="0.25"/>
  <cols>
    <col min="2" max="2" width="11.875" bestFit="1" customWidth="1"/>
  </cols>
  <sheetData>
    <row r="1" spans="1:11" x14ac:dyDescent="0.25">
      <c r="A1" s="3" t="s">
        <v>36</v>
      </c>
      <c r="B1" s="4">
        <v>100</v>
      </c>
      <c r="C1" s="5" t="s">
        <v>16</v>
      </c>
      <c r="D1" s="6">
        <v>0.2</v>
      </c>
    </row>
    <row r="2" spans="1:11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11" ht="16.5" thickBot="1" x14ac:dyDescent="0.3">
      <c r="A3" s="11" t="s">
        <v>18</v>
      </c>
      <c r="B3" s="12">
        <v>0</v>
      </c>
      <c r="C3" s="13"/>
      <c r="D3" s="14"/>
    </row>
    <row r="4" spans="1:11" ht="16.5" thickBot="1" x14ac:dyDescent="0.3"/>
    <row r="5" spans="1:11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1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</row>
    <row r="7" spans="1:11" x14ac:dyDescent="0.25">
      <c r="A7" s="17" t="s">
        <v>22</v>
      </c>
      <c r="B7" s="8">
        <f>black76($B$1,$B$2,$D$2,$B$3,$D$1,$B$6)</f>
        <v>7.9655674554058038</v>
      </c>
      <c r="C7" s="10">
        <f>black76($B$1,$B$2,$D$2,$B$3,$D$1,$C$6)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</row>
    <row r="8" spans="1:11" x14ac:dyDescent="0.25">
      <c r="A8" s="17" t="s">
        <v>23</v>
      </c>
      <c r="B8" s="8">
        <f>black76_delta($B$1,$B$2,$D$2,$B$3,$D$1,$B$6)</f>
        <v>0.53982783727702899</v>
      </c>
      <c r="C8" s="10">
        <f>black76_delta($B$1,$B$2,$D$2,$B$3,$D$1,$C$6)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black76($B$1+B1*0.01,$B$2,$D$2,$B$3,$D$1,$B$6)</f>
        <v>8.5152677589693369</v>
      </c>
      <c r="G8" s="10">
        <f>black76($B$1+B1*0.01,$B$2,$D$2,$B$3,$D$1,$C$6)</f>
        <v>7.5152677589693369</v>
      </c>
      <c r="H8" s="28">
        <f>B7+B8*B1*0.01</f>
        <v>8.5053952926828327</v>
      </c>
      <c r="I8" s="10">
        <f>C7+C8*B1*0.01</f>
        <v>7.5053952926828327</v>
      </c>
    </row>
    <row r="9" spans="1:11" x14ac:dyDescent="0.25">
      <c r="A9" s="17" t="s">
        <v>24</v>
      </c>
      <c r="B9" s="8">
        <f>black76_gamma($B$1,$B$2,$D$2,$B$3,$D$1)</f>
        <v>1.9847627373850589E-2</v>
      </c>
      <c r="C9" s="10">
        <f>black76_gamma($B$1,$B$2,$D$2,$B$3,$D$1)</f>
        <v>1.9847627373850589E-2</v>
      </c>
      <c r="D9" s="26">
        <f>B9*100</f>
        <v>1.9847627373850589</v>
      </c>
      <c r="E9" s="27">
        <f>C9*100</f>
        <v>1.9847627373850589</v>
      </c>
      <c r="F9" s="28">
        <f>black76_delta($B$1+B1*0.01,$B$2,$D$2,$B$3,$D$1,$B$6)</f>
        <v>0.55951972328745048</v>
      </c>
      <c r="G9" s="10">
        <f>black76_delta($B$1+B1*0.01,$B$2,$D$2,$B$3,$D$1,$C$6)</f>
        <v>-0.44048027671254947</v>
      </c>
      <c r="H9" s="28">
        <f>B8+B9*B1*0.01</f>
        <v>0.55967546465087958</v>
      </c>
      <c r="I9" s="10">
        <f>C8+C9*B1*0.01</f>
        <v>-0.44032453534912042</v>
      </c>
    </row>
    <row r="10" spans="1:11" x14ac:dyDescent="0.25">
      <c r="A10" s="17" t="s">
        <v>25</v>
      </c>
      <c r="B10" s="8">
        <f>black76_vega($B$1,$B$2,$D$2,$B$3,$D$1)</f>
        <v>39.695254747701178</v>
      </c>
      <c r="C10" s="10">
        <f>black76_vega($B$1,$B$2,$D$2,$B$3,$D$1)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black76($B$1,$B$2,$D$2+0.01,$B$3,$D$1,$B$6)</f>
        <v>8.0051629760522331</v>
      </c>
      <c r="G10" s="10">
        <f>black76($B$1,$B$2,$D$2+0.01,$B$3,$D$1,$C$6)</f>
        <v>8.0051629760522331</v>
      </c>
      <c r="H10" s="28">
        <f>B7+B10*0.01</f>
        <v>8.3625200028828157</v>
      </c>
      <c r="I10" s="10">
        <f>C7+C10*0.01</f>
        <v>8.3625200028828157</v>
      </c>
    </row>
    <row r="11" spans="1:11" x14ac:dyDescent="0.25">
      <c r="A11" s="17" t="s">
        <v>26</v>
      </c>
      <c r="B11" s="8">
        <f>black76_theta($B$1,$B$2,$D$2,$B$3,$D$1,$B$6)</f>
        <v>-3.9695254747701179</v>
      </c>
      <c r="C11" s="10">
        <f>black76_theta($B$1,$B$2,$D$2,$B$3,$D$1,$C$6)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black76($B$1,$B$2,$D$2-1/365,$B$3,$D$1,$B$6)</f>
        <v>7.9546845094545517</v>
      </c>
      <c r="G11" s="10">
        <f>black76($B$1,$B$2,$D$2-1/365,$B$3,$D$1,$C$6)</f>
        <v>7.9546845094545517</v>
      </c>
      <c r="H11" s="28">
        <f>B7+B11/365</f>
        <v>7.9546920431461601</v>
      </c>
      <c r="I11" s="10">
        <f>C7+C11/365</f>
        <v>7.9546920431461601</v>
      </c>
    </row>
    <row r="12" spans="1:11" x14ac:dyDescent="0.25">
      <c r="A12" s="17" t="s">
        <v>27</v>
      </c>
      <c r="B12" s="8">
        <f>black76_rho($B$1,$B$2,$D$2,$B$3,$D$1,$B$6)</f>
        <v>46.017216272297098</v>
      </c>
      <c r="C12" s="10">
        <f>black76_rho($B$1,$B$2,$D$2,$B$3,$D$1,$C$6)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34">
        <f>black76($B$1*EXP(0.01*$D$2),$B$2,$D$2,$B$3+0.01,$D$1,$B$6)</f>
        <v>8.433318690109596</v>
      </c>
      <c r="G12" s="35">
        <f>black76($B$1*EXP(0.01*$D$2),$B$2,$D$2,$B$3+0.01,$D$1,$C$6)</f>
        <v>7.4383020650264164</v>
      </c>
      <c r="H12" s="34">
        <f>B7+B12/100</f>
        <v>8.4257396181287749</v>
      </c>
      <c r="I12" s="35">
        <f>C7+C12/100</f>
        <v>7.4257396181287749</v>
      </c>
      <c r="J12" s="36" t="s">
        <v>37</v>
      </c>
      <c r="K12" s="36"/>
    </row>
    <row r="13" spans="1:11" x14ac:dyDescent="0.25">
      <c r="A13" s="17" t="s">
        <v>28</v>
      </c>
      <c r="B13" s="8">
        <f>black76_vanna($B$1,$B$2,$D$2,$B$3,$D$1)</f>
        <v>0.19847627373850596</v>
      </c>
      <c r="C13" s="10">
        <f>black76_vanna($B$1,$B$2,$D$2,$B$3,$D$1)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black76_delta($B$1,$B$2,$D$2,$B$3,$D$1+0.01,$B$6)</f>
        <v>0.54181209563970467</v>
      </c>
      <c r="G13" s="10">
        <f>black76_delta($B$1,$B$2,$D$2,$B$3,$D$1+0.01,$C$6)</f>
        <v>-0.45818790436029533</v>
      </c>
      <c r="H13" s="28">
        <f>B8+B13/100</f>
        <v>0.541812600014414</v>
      </c>
      <c r="I13" s="10">
        <f>C8+C13/100</f>
        <v>-0.45818739998558594</v>
      </c>
    </row>
    <row r="14" spans="1:11" ht="16.5" thickBot="1" x14ac:dyDescent="0.3">
      <c r="A14" s="18" t="s">
        <v>29</v>
      </c>
      <c r="B14" s="12">
        <f>black76_volga($B$1,$B$2,$D$2,$B$3,$D$1)</f>
        <v>-1.9847627373850598</v>
      </c>
      <c r="C14" s="14">
        <f>black76_volga($B$1,$B$2,$D$2,$B$3,$D$1)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black76_vega($B$1,$B$2,$D$2,$B$3,$D$1+0.01)</f>
        <v>39.674916141855903</v>
      </c>
      <c r="G14" s="14">
        <f>black76_vega($B$1,$B$2,$D$2,$B$3,$D$1+0.01)</f>
        <v>39.674916141855903</v>
      </c>
      <c r="H14" s="29">
        <f>B10+B14/100</f>
        <v>39.675407120327328</v>
      </c>
      <c r="I14" s="14">
        <f>C10+C14/100</f>
        <v>39.675407120327328</v>
      </c>
    </row>
    <row r="17" spans="1:4" x14ac:dyDescent="0.25">
      <c r="A17" s="19"/>
      <c r="B17" s="37" t="s">
        <v>17</v>
      </c>
      <c r="C17" s="37"/>
      <c r="D17" s="37"/>
    </row>
    <row r="18" spans="1:4" x14ac:dyDescent="0.25">
      <c r="A18" s="9" t="s">
        <v>31</v>
      </c>
      <c r="B18" s="19">
        <v>0.25</v>
      </c>
      <c r="C18" s="19">
        <v>0.5</v>
      </c>
      <c r="D18" s="19">
        <v>1</v>
      </c>
    </row>
    <row r="19" spans="1:4" x14ac:dyDescent="0.25">
      <c r="A19" s="21">
        <v>50</v>
      </c>
      <c r="B19" s="20">
        <f>black76($A19,$B$2,B$18,$B$3,$D$1,"call")</f>
        <v>2.0414833157936827E-12</v>
      </c>
      <c r="C19" s="20">
        <f>black76($A19,$B$2,C$18,$B$3,$D$1,"call")</f>
        <v>9.0135453065375991E-7</v>
      </c>
      <c r="D19" s="20">
        <f>black76($A19,$B$2,D$18,$B$3,$D$1,"call")</f>
        <v>9.431090880750205E-4</v>
      </c>
    </row>
    <row r="20" spans="1:4" x14ac:dyDescent="0.25">
      <c r="A20" s="21">
        <v>55</v>
      </c>
      <c r="B20" s="20">
        <f t="shared" ref="B20:D39" si="1">black76($A20,$B$2,B$18,$B$3,$D$1,"call")</f>
        <v>1.3272651541473746E-9</v>
      </c>
      <c r="C20" s="20">
        <f t="shared" si="1"/>
        <v>2.6653937349557853E-5</v>
      </c>
      <c r="D20" s="20">
        <f t="shared" si="1"/>
        <v>5.863277009853507E-3</v>
      </c>
    </row>
    <row r="21" spans="1:4" x14ac:dyDescent="0.25">
      <c r="A21" s="21">
        <v>60</v>
      </c>
      <c r="B21" s="20">
        <f t="shared" si="1"/>
        <v>2.3021227536033257E-7</v>
      </c>
      <c r="C21" s="20">
        <f t="shared" si="1"/>
        <v>4.069503276152419E-4</v>
      </c>
      <c r="D21" s="20">
        <f t="shared" si="1"/>
        <v>2.611181190724049E-2</v>
      </c>
    </row>
    <row r="22" spans="1:4" x14ac:dyDescent="0.25">
      <c r="A22" s="21">
        <v>65</v>
      </c>
      <c r="B22" s="20">
        <f t="shared" si="1"/>
        <v>1.4075919374729779E-5</v>
      </c>
      <c r="C22" s="20">
        <f t="shared" si="1"/>
        <v>3.6910309572077277E-3</v>
      </c>
      <c r="D22" s="20">
        <f t="shared" si="1"/>
        <v>8.9401584110823329E-2</v>
      </c>
    </row>
    <row r="23" spans="1:4" x14ac:dyDescent="0.25">
      <c r="A23" s="21">
        <v>70</v>
      </c>
      <c r="B23" s="20">
        <f t="shared" si="1"/>
        <v>3.7401735690072505E-4</v>
      </c>
      <c r="C23" s="20">
        <f t="shared" si="1"/>
        <v>2.2095009684711286E-2</v>
      </c>
      <c r="D23" s="20">
        <f t="shared" si="1"/>
        <v>0.24810989689244956</v>
      </c>
    </row>
    <row r="24" spans="1:4" x14ac:dyDescent="0.25">
      <c r="A24" s="21">
        <v>75</v>
      </c>
      <c r="B24" s="20">
        <f t="shared" si="1"/>
        <v>5.0742901084042391E-3</v>
      </c>
      <c r="C24" s="20">
        <f t="shared" si="1"/>
        <v>9.4646200341534037E-2</v>
      </c>
      <c r="D24" s="20">
        <f t="shared" si="1"/>
        <v>0.58118584627555592</v>
      </c>
    </row>
    <row r="25" spans="1:4" x14ac:dyDescent="0.25">
      <c r="A25" s="21">
        <v>80</v>
      </c>
      <c r="B25" s="20">
        <f t="shared" si="1"/>
        <v>3.9914343421842524E-2</v>
      </c>
      <c r="C25" s="20">
        <f t="shared" si="1"/>
        <v>0.30911447589051733</v>
      </c>
      <c r="D25" s="20">
        <f t="shared" si="1"/>
        <v>1.1859295132104251</v>
      </c>
    </row>
    <row r="26" spans="1:4" x14ac:dyDescent="0.25">
      <c r="A26" s="21">
        <v>85</v>
      </c>
      <c r="B26" s="20">
        <f t="shared" si="1"/>
        <v>0.20168732797265321</v>
      </c>
      <c r="C26" s="20">
        <f t="shared" si="1"/>
        <v>0.80971952100526678</v>
      </c>
      <c r="D26" s="20">
        <f t="shared" si="1"/>
        <v>2.1613180334221411</v>
      </c>
    </row>
    <row r="27" spans="1:4" x14ac:dyDescent="0.25">
      <c r="A27" s="21">
        <v>90</v>
      </c>
      <c r="B27" s="20">
        <f t="shared" si="1"/>
        <v>0.71238089607366639</v>
      </c>
      <c r="C27" s="20">
        <f t="shared" si="1"/>
        <v>1.7724511004687962</v>
      </c>
      <c r="D27" s="20">
        <f t="shared" si="1"/>
        <v>3.5891081160547991</v>
      </c>
    </row>
    <row r="28" spans="1:4" x14ac:dyDescent="0.25">
      <c r="A28" s="21">
        <v>95</v>
      </c>
      <c r="B28" s="20">
        <f t="shared" si="1"/>
        <v>1.8880632480607282</v>
      </c>
      <c r="C28" s="20">
        <f t="shared" si="1"/>
        <v>3.3531802247620064</v>
      </c>
      <c r="D28" s="20">
        <f t="shared" si="1"/>
        <v>5.5195410636769751</v>
      </c>
    </row>
    <row r="29" spans="1:4" x14ac:dyDescent="0.25">
      <c r="A29" s="21">
        <v>100</v>
      </c>
      <c r="B29" s="20">
        <f t="shared" si="1"/>
        <v>3.987761167674492</v>
      </c>
      <c r="C29" s="20">
        <f t="shared" si="1"/>
        <v>5.6371977797016655</v>
      </c>
      <c r="D29" s="20">
        <f t="shared" si="1"/>
        <v>7.9655674554058038</v>
      </c>
    </row>
    <row r="30" spans="1:4" x14ac:dyDescent="0.25">
      <c r="A30" s="21">
        <v>105</v>
      </c>
      <c r="B30" s="20">
        <f t="shared" si="1"/>
        <v>7.0640191378988391</v>
      </c>
      <c r="C30" s="20">
        <f t="shared" si="1"/>
        <v>8.6179738463164739</v>
      </c>
      <c r="D30" s="20">
        <f t="shared" si="1"/>
        <v>10.905593471555491</v>
      </c>
    </row>
    <row r="31" spans="1:4" x14ac:dyDescent="0.25">
      <c r="A31" s="21">
        <v>110</v>
      </c>
      <c r="B31" s="20">
        <f t="shared" si="1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4" x14ac:dyDescent="0.25">
      <c r="A32" s="21">
        <v>115</v>
      </c>
      <c r="B32" s="20">
        <f t="shared" si="1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1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1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1"/>
        <v>30.015460440603349</v>
      </c>
      <c r="C35" s="20">
        <f t="shared" si="1"/>
        <v>30.199700106318701</v>
      </c>
      <c r="D35" s="20">
        <f t="shared" si="1"/>
        <v>31.008871615968616</v>
      </c>
    </row>
    <row r="36" spans="1:4" x14ac:dyDescent="0.25">
      <c r="A36" s="21">
        <v>135</v>
      </c>
      <c r="B36" s="20">
        <f t="shared" si="1"/>
        <v>35.004419070649661</v>
      </c>
      <c r="C36" s="20">
        <f t="shared" si="1"/>
        <v>35.099783401702609</v>
      </c>
      <c r="D36" s="20">
        <f t="shared" si="1"/>
        <v>35.677761953340053</v>
      </c>
    </row>
    <row r="37" spans="1:4" x14ac:dyDescent="0.25">
      <c r="A37" s="21">
        <v>140</v>
      </c>
      <c r="B37" s="20">
        <f t="shared" si="1"/>
        <v>40.001174154865041</v>
      </c>
      <c r="C37" s="20">
        <f t="shared" si="1"/>
        <v>40.04835520601263</v>
      </c>
      <c r="D37" s="20">
        <f t="shared" si="1"/>
        <v>40.4500324519081</v>
      </c>
    </row>
    <row r="38" spans="1:4" x14ac:dyDescent="0.25">
      <c r="A38" s="21">
        <v>145</v>
      </c>
      <c r="B38" s="20">
        <f t="shared" si="1"/>
        <v>45.00029212166298</v>
      </c>
      <c r="C38" s="20">
        <f t="shared" si="1"/>
        <v>45.02279442330881</v>
      </c>
      <c r="D38" s="20">
        <f t="shared" si="1"/>
        <v>45.295699573953925</v>
      </c>
    </row>
    <row r="39" spans="1:4" x14ac:dyDescent="0.25">
      <c r="A39" s="21">
        <v>150</v>
      </c>
      <c r="B39" s="20">
        <f t="shared" si="1"/>
        <v>50.000068512534739</v>
      </c>
      <c r="C39" s="20">
        <f t="shared" si="1"/>
        <v>50.010481433933236</v>
      </c>
      <c r="D39" s="20">
        <f t="shared" si="1"/>
        <v>50.19247532329706</v>
      </c>
    </row>
  </sheetData>
  <mergeCells count="5">
    <mergeCell ref="B5:C5"/>
    <mergeCell ref="D5:E5"/>
    <mergeCell ref="F5:G5"/>
    <mergeCell ref="H5:I5"/>
    <mergeCell ref="B17:D17"/>
  </mergeCells>
  <pageMargins left="0.75" right="0.75" top="1" bottom="1" header="0.5" footer="0.5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I21" sqref="I21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BSM</vt:lpstr>
      <vt:lpstr>Black76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2021-01-29T18:00:34Z</dcterms:modified>
</cp:coreProperties>
</file>